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Parametri" sheetId="2" state="visible" r:id="rId2"/>
    <sheet name="Movimenti" sheetId="3" state="visible" r:id="rId3"/>
    <sheet name="Riepilogo" sheetId="4" state="visible" r:id="rId4"/>
  </sheets>
  <definedNames>
    <definedName name="_xlnm._FilterDatabase" localSheetId="2" hidden="1">'Movimenti'!$A$1:$G$501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 €&quot;;(#,##0.00&quot; €&quot;);&quot;-&quot;"/>
    <numFmt numFmtId="165" formatCode="0.0%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0" fontId="5" fillId="2" borderId="1" pivotButton="0" quotePrefix="0" xfId="0"/>
    <xf numFmtId="0" fontId="0" fillId="2" borderId="1" pivotButton="0" quotePrefix="0" xfId="0"/>
    <xf numFmtId="0" fontId="4" fillId="0" borderId="1" pivotButton="0" quotePrefix="0" xfId="0"/>
    <xf numFmtId="3" fontId="6" fillId="0" borderId="1" pivotButton="0" quotePrefix="0" xfId="0"/>
    <xf numFmtId="0" fontId="2" fillId="0" borderId="0" applyAlignment="1" pivotButton="0" quotePrefix="0" xfId="0">
      <alignment vertical="center" wrapText="1"/>
    </xf>
    <xf numFmtId="164" fontId="6" fillId="0" borderId="1" pivotButton="0" quotePrefix="0" xfId="0"/>
    <xf numFmtId="165" fontId="6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4" fontId="6" fillId="4" borderId="1" pivotButton="0" quotePrefix="0" xfId="0"/>
    <xf numFmtId="0" fontId="3" fillId="5" borderId="1" pivotButton="0" quotePrefix="0" xfId="0"/>
    <xf numFmtId="164" fontId="3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166" fontId="4" fillId="3" borderId="1" pivotButton="0" quotePrefix="0" xfId="0"/>
    <xf numFmtId="0" fontId="4" fillId="3" borderId="1" pivotButton="0" quotePrefix="0" xfId="0"/>
    <xf numFmtId="164" fontId="4" fillId="3" borderId="1" pivotButton="0" quotePrefix="0" xfId="0"/>
    <xf numFmtId="166" fontId="4" fillId="0" borderId="1" pivotButton="0" quotePrefix="0" xfId="0"/>
    <xf numFmtId="0" fontId="2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164" fontId="7" fillId="0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0" fillId="0" borderId="1" pivotButton="0" quotePrefix="0" xfId="0"/>
    <xf numFmtId="0" fontId="0" fillId="5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GEM</author>
  </authors>
  <commentList>
    <comment ref="B5" authorId="0" shapeId="0">
      <text>
        <t>36 ospiti: dato fornito dall'utente, non ancora confermato per iscritto dalla capofila.</t>
      </text>
    </comment>
    <comment ref="B6" authorId="0" shapeId="0">
      <text>
        <t>2.000 € netti per persona / 90 giorni. Accordo verbale, art. 7-ter reverse charge. Fonte: utente.</t>
      </text>
    </comment>
    <comment ref="B20" authorId="0" shapeId="0">
      <text>
        <t>Nessun preventivo ancora richiesto. Finche' resta vuoto, il margine atteso e' sovrastimato.</t>
      </text>
    </comment>
  </commentList>
</comments>
</file>

<file path=xl/comments/comment2.xml><?xml version="1.0" encoding="utf-8"?>
<comments xmlns="http://schemas.openxmlformats.org/spreadsheetml/2006/main">
  <authors>
    <author>GEM</author>
  </authors>
  <commentList>
    <comment ref="F1" authorId="0" shapeId="0">
      <text>
        <t>Sempre un numero POSITIVO, anche per i costi. Il segno lo decide la colonna 'Tipo movimento'.</t>
      </text>
    </comment>
    <comment ref="G1" authorId="0" shapeId="0">
      <text>
        <t>Colonna calcolata: non scriverci dentro. Incasso somma, Costo e Distribuzione sottraggono.</t>
      </text>
    </comment>
  </commentList>
</comments>
</file>

<file path=xl/comments/comment3.xml><?xml version="1.0" encoding="utf-8"?>
<comments xmlns="http://schemas.openxmlformats.org/spreadsheetml/2006/main">
  <authors>
    <author>GEM</author>
  </authors>
  <commentList>
    <comment ref="C13" authorId="0" shapeId="0">
      <text>
        <t>Atteso = stima per ospite (Parametri) x numero ospiti. Finche' le stime sono vuote, l'atteso vale 0 e lo scostamento non e' significativo.</t>
      </text>
    </comment>
    <comment ref="B31" authorId="0" shapeId="0">
      <text>
        <t>Deve coincidere con il Saldo progressivo dell'ultima riga compilata in 'Movimenti'. Se non coincide, una riga ha Tipo movimento o Categoria scritti a mano invece che scelti dal menu.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26" customWidth="1" min="4" max="4"/>
    <col width="26" customWidth="1" min="5" max="5"/>
    <col width="16" customWidth="1" min="6" max="6"/>
    <col width="20" customWidth="1" min="7" max="7"/>
  </cols>
  <sheetData>
    <row r="1">
      <c r="A1" s="1" t="inlineStr">
        <is>
          <t>Progetto GEM — Registro dei movimenti economici</t>
        </is>
      </c>
    </row>
    <row r="2">
      <c r="A2" s="2" t="inlineStr">
        <is>
          <t>Aggiornamento manuale. Nessuna automazione: le righe si inseriscono a mano, i totali si ricalcolano da soli.</t>
        </is>
      </c>
    </row>
    <row r="4">
      <c r="A4" s="3" t="inlineStr">
        <is>
          <t>I fogli del file</t>
        </is>
      </c>
    </row>
    <row r="5">
      <c r="A5" s="4" t="inlineStr">
        <is>
          <t>Parametri</t>
        </is>
      </c>
      <c r="B5" s="5" t="inlineStr">
        <is>
          <t>Numeri di base del progetto (ospiti, prezzo, percentuali) e stime dei costi. È l'unico posto dove modificare queste cifre.</t>
        </is>
      </c>
    </row>
    <row r="6">
      <c r="A6" s="4" t="inlineStr">
        <is>
          <t>Movimenti</t>
        </is>
      </c>
      <c r="B6" s="5" t="inlineStr">
        <is>
          <t>IL FOGLIO DA COMPILARE. Una riga per ogni movimento realmente avvenuto, in ordine di data.</t>
        </is>
      </c>
    </row>
    <row r="7">
      <c r="A7" s="4" t="inlineStr">
        <is>
          <t>Riepilogo</t>
        </is>
      </c>
      <c r="B7" s="5" t="inlineStr">
        <is>
          <t>Si calcola da solo. Confronta l'atteso con l'effettivo e calcola margine e ripartizione 50/50. Non scriverci dentro.</t>
        </is>
      </c>
    </row>
    <row r="9">
      <c r="A9" s="3" t="inlineStr">
        <is>
          <t>Codice colore</t>
        </is>
      </c>
    </row>
    <row r="10">
      <c r="A10" s="4" t="inlineStr">
        <is>
          <t>Testo BLU</t>
        </is>
      </c>
      <c r="B10" s="5" t="inlineStr">
        <is>
          <t>Valore inserito a mano. Si può modificare.</t>
        </is>
      </c>
    </row>
    <row r="11">
      <c r="A11" s="4" t="inlineStr">
        <is>
          <t>Sfondo GIALLO</t>
        </is>
      </c>
      <c r="B11" s="5" t="inlineStr">
        <is>
          <t>Da compilare: il valore manca ancora.</t>
        </is>
      </c>
    </row>
    <row r="12">
      <c r="A12" s="4" t="inlineStr">
        <is>
          <t>Testo NERO</t>
        </is>
      </c>
      <c r="B12" s="5" t="inlineStr">
        <is>
          <t>Formula. NON sovrascrivere: si perde il calcolo.</t>
        </is>
      </c>
    </row>
    <row r="13">
      <c r="A13" s="4" t="inlineStr">
        <is>
          <t>Testo VERDE</t>
        </is>
      </c>
      <c r="B13" s="5" t="inlineStr">
        <is>
          <t>Riferimento a un altro foglio di questo file.</t>
        </is>
      </c>
    </row>
    <row r="15">
      <c r="A15" s="3" t="inlineStr">
        <is>
          <t>Come si registra un movimento</t>
        </is>
      </c>
    </row>
    <row r="16">
      <c r="A16" s="4" t="inlineStr">
        <is>
          <t>1.</t>
        </is>
      </c>
      <c r="B16" s="5" t="inlineStr">
        <is>
          <t>Apri il foglio 'Movimenti' e vai alla prima riga vuota.</t>
        </is>
      </c>
    </row>
    <row r="17">
      <c r="A17" s="4" t="inlineStr">
        <is>
          <t>2.</t>
        </is>
      </c>
      <c r="B17" s="5" t="inlineStr">
        <is>
          <t>Compila SOLO le colonne da A a F. La colonna G (Saldo progressivo) si calcola da sola.</t>
        </is>
      </c>
    </row>
    <row r="18">
      <c r="A18" s="4" t="inlineStr">
        <is>
          <t>3.</t>
        </is>
      </c>
      <c r="B18" s="5" t="inlineStr">
        <is>
          <t>Inserisci l'importo in colonna F sempre come numero POSITIVO, anche per i costi: è la colonna 'Tipo movimento' a stabilire il segno.</t>
        </is>
      </c>
    </row>
    <row r="19">
      <c r="A19" s="4" t="inlineStr">
        <is>
          <t>4.</t>
        </is>
      </c>
      <c r="B19" s="5" t="inlineStr">
        <is>
          <t>Scegli 'Tipo movimento' e 'Categoria' dai menu a tendina: il foglio 'Riepilogo' somma in base a quei valori esatti. Un testo scritto a mano non viene conteggiato.</t>
        </is>
      </c>
    </row>
    <row r="20">
      <c r="A20" s="4" t="inlineStr">
        <is>
          <t>5.</t>
        </is>
      </c>
      <c r="B20" s="5" t="inlineStr">
        <is>
          <t>Registra il movimento quando il denaro si muove davvero (incasso o pagamento), non quando viene emessa la fattura.</t>
        </is>
      </c>
    </row>
    <row r="22">
      <c r="A22" s="3" t="inlineStr">
        <is>
          <t>Le tre voci di 'Tipo movimento'</t>
        </is>
      </c>
    </row>
    <row r="23">
      <c r="A23" s="4" t="inlineStr">
        <is>
          <t>Incasso</t>
        </is>
      </c>
      <c r="B23" s="5" t="inlineStr">
        <is>
          <t>Denaro che entra. Aumenta il saldo.</t>
        </is>
      </c>
    </row>
    <row r="24">
      <c r="A24" s="4" t="inlineStr">
        <is>
          <t>Costo</t>
        </is>
      </c>
      <c r="B24" s="5" t="inlineStr">
        <is>
          <t>Denaro che esce verso fornitori. Riduce il saldo ed erode il margine.</t>
        </is>
      </c>
    </row>
    <row r="25">
      <c r="A25" s="4" t="inlineStr">
        <is>
          <t>Distribuzione</t>
        </is>
      </c>
      <c r="B25" s="5" t="inlineStr">
        <is>
          <t>Denaro prelevato dai soci. Riduce il saldo di cassa ma NON è un costo: non riduce il margine.</t>
        </is>
      </c>
    </row>
    <row r="27">
      <c r="A27" s="3" t="inlineStr">
        <is>
          <t>Esempio di compilazione</t>
        </is>
      </c>
    </row>
    <row r="28">
      <c r="A28" s="6" t="inlineStr">
        <is>
          <t>Data</t>
        </is>
      </c>
      <c r="B28" s="6" t="inlineStr">
        <is>
          <t>Tipo movimento</t>
        </is>
      </c>
      <c r="C28" s="6" t="inlineStr">
        <is>
          <t>Categoria</t>
        </is>
      </c>
      <c r="D28" s="6" t="inlineStr">
        <is>
          <t>Descrizione</t>
        </is>
      </c>
      <c r="E28" s="6" t="inlineStr">
        <is>
          <t>Ospite / Tranche</t>
        </is>
      </c>
      <c r="F28" s="6" t="inlineStr">
        <is>
          <t>Importo (€)</t>
        </is>
      </c>
      <c r="G28" s="6" t="inlineStr">
        <is>
          <t>Saldo progressivo (€)</t>
        </is>
      </c>
    </row>
    <row r="29">
      <c r="A29" s="7" t="inlineStr">
        <is>
          <t>15/10/2026</t>
        </is>
      </c>
      <c r="B29" s="7" t="inlineStr">
        <is>
          <t>Incasso</t>
        </is>
      </c>
      <c r="C29" s="7" t="inlineStr">
        <is>
          <t>Tranche 80%</t>
        </is>
      </c>
      <c r="D29" s="7" t="inlineStr">
        <is>
          <t>Fattura n. 001 — anticipo 80% all'arrivo</t>
        </is>
      </c>
      <c r="E29" s="7" t="inlineStr">
        <is>
          <t>Tranche 80% — 36 ospiti</t>
        </is>
      </c>
      <c r="F29" s="8" t="inlineStr">
        <is>
          <t>57.600,00 €</t>
        </is>
      </c>
      <c r="G29" s="8" t="inlineStr">
        <is>
          <t>57.600,00 €</t>
        </is>
      </c>
    </row>
    <row r="30">
      <c r="A30" s="7" t="inlineStr">
        <is>
          <t>18/10/2026</t>
        </is>
      </c>
      <c r="B30" s="7" t="inlineStr">
        <is>
          <t>Costo</t>
        </is>
      </c>
      <c r="C30" s="7" t="inlineStr">
        <is>
          <t>Alloggio</t>
        </is>
      </c>
      <c r="D30" s="7" t="inlineStr">
        <is>
          <t>Struttura X — acconto 36 camere singole</t>
        </is>
      </c>
      <c r="E30" s="7" t="inlineStr">
        <is>
          <t>36 ospiti</t>
        </is>
      </c>
      <c r="F30" s="8" t="inlineStr">
        <is>
          <t>20.000,00 €</t>
        </is>
      </c>
      <c r="G30" s="8" t="inlineStr">
        <is>
          <t>37.600,00 €</t>
        </is>
      </c>
    </row>
    <row r="31">
      <c r="A31" s="7" t="inlineStr">
        <is>
          <t>18/10/2026</t>
        </is>
      </c>
      <c r="B31" s="7" t="inlineStr">
        <is>
          <t>Costo</t>
        </is>
      </c>
      <c r="C31" s="7" t="inlineStr">
        <is>
          <t>Transfert</t>
        </is>
      </c>
      <c r="D31" s="7" t="inlineStr">
        <is>
          <t>Bus aeroporto — arrivo gruppo</t>
        </is>
      </c>
      <c r="E31" s="7" t="inlineStr">
        <is>
          <t>36 ospiti</t>
        </is>
      </c>
      <c r="F31" s="8" t="inlineStr">
        <is>
          <t>1.200,00 €</t>
        </is>
      </c>
      <c r="G31" s="8" t="inlineStr">
        <is>
          <t>36.400,00 €</t>
        </is>
      </c>
    </row>
    <row r="33">
      <c r="A33" s="2" t="inlineStr">
        <is>
          <t>Valori mostrati come testo, solo per illustrare il formato atteso. In 'Movimenti' vanno inseriti come data e come numero.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>
      <c r="A1" s="1" t="inlineStr">
        <is>
          <t>Parametri di progetto</t>
        </is>
      </c>
    </row>
    <row r="2">
      <c r="A2" s="2" t="inlineStr">
        <is>
          <t>Le celle in blu sono modificabili a mano. Quelle in giallo mancano ancora.</t>
        </is>
      </c>
    </row>
    <row r="4">
      <c r="A4" s="9" t="inlineStr">
        <is>
          <t>Base dell'accordo</t>
        </is>
      </c>
      <c r="B4" s="10" t="n"/>
      <c r="C4" s="10" t="n"/>
    </row>
    <row r="5">
      <c r="A5" s="11" t="inlineStr">
        <is>
          <t>Numero ospiti</t>
        </is>
      </c>
      <c r="B5" s="12" t="n">
        <v>36</v>
      </c>
      <c r="C5" s="13" t="inlineStr">
        <is>
          <t>Dato corrente. Ogni variazione cambia il corrispettivo.</t>
        </is>
      </c>
    </row>
    <row r="6">
      <c r="A6" s="11" t="inlineStr">
        <is>
          <t>Corrispettivo netto per ospite</t>
        </is>
      </c>
      <c r="B6" s="14" t="n">
        <v>2000</v>
      </c>
      <c r="C6" s="13" t="inlineStr">
        <is>
          <t>2.000 € netti / 90 giorni. Concordato a voce, non per iscritto.</t>
        </is>
      </c>
    </row>
    <row r="7">
      <c r="A7" s="11" t="inlineStr">
        <is>
          <t>Giorni di soggiorno</t>
        </is>
      </c>
      <c r="B7" s="12" t="n">
        <v>90</v>
      </c>
    </row>
    <row r="8">
      <c r="A8" s="11" t="inlineStr">
        <is>
          <t>Quota tranche 1 (arrivo)</t>
        </is>
      </c>
      <c r="B8" s="15" t="n">
        <v>0.8</v>
      </c>
    </row>
    <row r="9">
      <c r="A9" s="11" t="inlineStr">
        <is>
          <t>Quota tranche 2 (partenza)</t>
        </is>
      </c>
      <c r="B9" s="15" t="n">
        <v>0.2</v>
      </c>
      <c r="C9" s="13" t="inlineStr">
        <is>
          <t>Subordinata al controllo documentale.</t>
        </is>
      </c>
    </row>
    <row r="10">
      <c r="A10" s="11" t="inlineStr">
        <is>
          <t>Quota margine Socio 1</t>
        </is>
      </c>
      <c r="B10" s="15" t="n">
        <v>0.5</v>
      </c>
    </row>
    <row r="11">
      <c r="A11" s="11" t="inlineStr">
        <is>
          <t>Quota margine Socio 2</t>
        </is>
      </c>
      <c r="B11" s="15" t="n">
        <v>0.5</v>
      </c>
    </row>
    <row r="13">
      <c r="A13" s="9" t="inlineStr">
        <is>
          <t>Ricavi attesi (calcolati)</t>
        </is>
      </c>
      <c r="B13" s="10" t="n"/>
      <c r="C13" s="10" t="n"/>
    </row>
    <row r="14">
      <c r="A14" s="11" t="inlineStr">
        <is>
          <t>Ricavo lordo atteso</t>
        </is>
      </c>
      <c r="B14" s="16">
        <f>B5*B6</f>
        <v/>
      </c>
    </row>
    <row r="15">
      <c r="A15" s="11" t="inlineStr">
        <is>
          <t>Tranche 80% attesa</t>
        </is>
      </c>
      <c r="B15" s="16">
        <f>B14*B8</f>
        <v/>
      </c>
    </row>
    <row r="16">
      <c r="A16" s="11" t="inlineStr">
        <is>
          <t>Tranche 20% attesa</t>
        </is>
      </c>
      <c r="B16" s="16">
        <f>B14*B9</f>
        <v/>
      </c>
    </row>
    <row r="17">
      <c r="A17" s="11" t="inlineStr">
        <is>
          <t>Verifica quote</t>
        </is>
      </c>
      <c r="B17" s="17">
        <f>B8+B9</f>
        <v/>
      </c>
      <c r="C17" s="13" t="inlineStr">
        <is>
          <t>Deve valere 100%. Se no, le quote delle tranche non tornano.</t>
        </is>
      </c>
    </row>
    <row r="19">
      <c r="A19" s="9" t="inlineStr">
        <is>
          <t>Costi variabili stimati — per ospite</t>
        </is>
      </c>
      <c r="B19" s="10" t="n"/>
      <c r="C19" s="10" t="n"/>
    </row>
    <row r="20">
      <c r="A20" s="11" t="inlineStr">
        <is>
          <t>Alloggio (90 gg)</t>
        </is>
      </c>
      <c r="B20" s="18" t="n"/>
      <c r="C20" s="13" t="inlineStr">
        <is>
          <t>DA STIMARE — voce di costo dominante.</t>
        </is>
      </c>
    </row>
    <row r="21">
      <c r="A21" s="11" t="inlineStr">
        <is>
          <t>Transfert</t>
        </is>
      </c>
      <c r="B21" s="18" t="n"/>
      <c r="C21" s="13" t="inlineStr">
        <is>
          <t>DA STIMARE — arrivo + partenza.</t>
        </is>
      </c>
    </row>
    <row r="22">
      <c r="A22" s="11" t="inlineStr">
        <is>
          <t>Mobility</t>
        </is>
      </c>
      <c r="B22" s="18" t="n"/>
      <c r="C22" s="13" t="inlineStr">
        <is>
          <t>DA STIMARE — spostamenti locali.</t>
        </is>
      </c>
    </row>
    <row r="23">
      <c r="A23" s="11" t="inlineStr">
        <is>
          <t>Totale per ospite</t>
        </is>
      </c>
      <c r="B23" s="16">
        <f>SUM(B20:B22)</f>
        <v/>
      </c>
    </row>
    <row r="25">
      <c r="A25" s="9" t="inlineStr">
        <is>
          <t>Proiezione a 36 ospiti</t>
        </is>
      </c>
      <c r="B25" s="10" t="n"/>
      <c r="C25" s="10" t="n"/>
    </row>
    <row r="26">
      <c r="A26" s="11" t="inlineStr">
        <is>
          <t>Costi variabili totali</t>
        </is>
      </c>
      <c r="B26" s="16">
        <f>B23*B5</f>
        <v/>
      </c>
    </row>
    <row r="27">
      <c r="A27" s="19" t="inlineStr">
        <is>
          <t>Margine atteso</t>
        </is>
      </c>
      <c r="B27" s="20">
        <f>B14-B26</f>
        <v/>
      </c>
    </row>
    <row r="28">
      <c r="A28" s="11" t="inlineStr">
        <is>
          <t>Margine per ospite</t>
        </is>
      </c>
      <c r="B28" s="16">
        <f>B6-B23</f>
        <v/>
      </c>
    </row>
    <row r="29">
      <c r="A29" s="11" t="inlineStr">
        <is>
          <t>Incidenza costi su ricavi</t>
        </is>
      </c>
      <c r="B29" s="17">
        <f>IF(B14=0,"",B26/B14)</f>
        <v/>
      </c>
    </row>
    <row r="30">
      <c r="A30" s="19" t="inlineStr">
        <is>
          <t>Quota attesa Socio 1</t>
        </is>
      </c>
      <c r="B30" s="20">
        <f>B27*B10</f>
        <v/>
      </c>
    </row>
    <row r="31">
      <c r="A31" s="19" t="inlineStr">
        <is>
          <t>Quota attesa Socio 2</t>
        </is>
      </c>
      <c r="B31" s="20">
        <f>B27*B11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46" customWidth="1" min="4" max="4"/>
    <col width="30" customWidth="1" min="5" max="5"/>
    <col width="16" customWidth="1" min="6" max="6"/>
    <col width="21" customWidth="1" min="7" max="7"/>
  </cols>
  <sheetData>
    <row r="1" ht="30" customHeight="1">
      <c r="A1" s="21" t="inlineStr">
        <is>
          <t>Data</t>
        </is>
      </c>
      <c r="B1" s="21" t="inlineStr">
        <is>
          <t>Tipo movimento</t>
        </is>
      </c>
      <c r="C1" s="21" t="inlineStr">
        <is>
          <t>Categoria</t>
        </is>
      </c>
      <c r="D1" s="21" t="inlineStr">
        <is>
          <t>Descrizione</t>
        </is>
      </c>
      <c r="E1" s="21" t="inlineStr">
        <is>
          <t>Ospite / Tranche di riferimento</t>
        </is>
      </c>
      <c r="F1" s="21" t="inlineStr">
        <is>
          <t>Importo (€)</t>
        </is>
      </c>
      <c r="G1" s="21" t="inlineStr">
        <is>
          <t>Saldo progressivo (€)</t>
        </is>
      </c>
    </row>
    <row r="2">
      <c r="A2" s="22" t="n"/>
      <c r="B2" s="23" t="n"/>
      <c r="C2" s="23" t="n"/>
      <c r="D2" s="23" t="n"/>
      <c r="E2" s="23" t="n"/>
      <c r="F2" s="24" t="n"/>
      <c r="G2" s="24">
        <f>IF($A2="","",0+IF($B2="Incasso",$F2,-$F2))</f>
        <v/>
      </c>
    </row>
    <row r="3">
      <c r="A3" s="25" t="n"/>
      <c r="B3" s="11" t="n"/>
      <c r="C3" s="11" t="n"/>
      <c r="D3" s="11" t="n"/>
      <c r="E3" s="11" t="n"/>
      <c r="F3" s="16" t="n"/>
      <c r="G3" s="16">
        <f>IF($A3="","",N(G2)+IF($B3="Incasso",$F3,-$F3))</f>
        <v/>
      </c>
    </row>
    <row r="4">
      <c r="A4" s="22" t="n"/>
      <c r="B4" s="23" t="n"/>
      <c r="C4" s="23" t="n"/>
      <c r="D4" s="23" t="n"/>
      <c r="E4" s="23" t="n"/>
      <c r="F4" s="24" t="n"/>
      <c r="G4" s="24">
        <f>IF($A4="","",N(G3)+IF($B4="Incasso",$F4,-$F4))</f>
        <v/>
      </c>
    </row>
    <row r="5">
      <c r="A5" s="25" t="n"/>
      <c r="B5" s="11" t="n"/>
      <c r="C5" s="11" t="n"/>
      <c r="D5" s="11" t="n"/>
      <c r="E5" s="11" t="n"/>
      <c r="F5" s="16" t="n"/>
      <c r="G5" s="16">
        <f>IF($A5="","",N(G4)+IF($B5="Incasso",$F5,-$F5))</f>
        <v/>
      </c>
    </row>
    <row r="6">
      <c r="A6" s="22" t="n"/>
      <c r="B6" s="23" t="n"/>
      <c r="C6" s="23" t="n"/>
      <c r="D6" s="23" t="n"/>
      <c r="E6" s="23" t="n"/>
      <c r="F6" s="24" t="n"/>
      <c r="G6" s="24">
        <f>IF($A6="","",N(G5)+IF($B6="Incasso",$F6,-$F6))</f>
        <v/>
      </c>
    </row>
    <row r="7">
      <c r="A7" s="25" t="n"/>
      <c r="B7" s="11" t="n"/>
      <c r="C7" s="11" t="n"/>
      <c r="D7" s="11" t="n"/>
      <c r="E7" s="11" t="n"/>
      <c r="F7" s="16" t="n"/>
      <c r="G7" s="16">
        <f>IF($A7="","",N(G6)+IF($B7="Incasso",$F7,-$F7))</f>
        <v/>
      </c>
    </row>
    <row r="8">
      <c r="A8" s="22" t="n"/>
      <c r="B8" s="23" t="n"/>
      <c r="C8" s="23" t="n"/>
      <c r="D8" s="23" t="n"/>
      <c r="E8" s="23" t="n"/>
      <c r="F8" s="24" t="n"/>
      <c r="G8" s="24">
        <f>IF($A8="","",N(G7)+IF($B8="Incasso",$F8,-$F8))</f>
        <v/>
      </c>
    </row>
    <row r="9">
      <c r="A9" s="25" t="n"/>
      <c r="B9" s="11" t="n"/>
      <c r="C9" s="11" t="n"/>
      <c r="D9" s="11" t="n"/>
      <c r="E9" s="11" t="n"/>
      <c r="F9" s="16" t="n"/>
      <c r="G9" s="16">
        <f>IF($A9="","",N(G8)+IF($B9="Incasso",$F9,-$F9))</f>
        <v/>
      </c>
    </row>
    <row r="10">
      <c r="A10" s="22" t="n"/>
      <c r="B10" s="23" t="n"/>
      <c r="C10" s="23" t="n"/>
      <c r="D10" s="23" t="n"/>
      <c r="E10" s="23" t="n"/>
      <c r="F10" s="24" t="n"/>
      <c r="G10" s="24">
        <f>IF($A10="","",N(G9)+IF($B10="Incasso",$F10,-$F10))</f>
        <v/>
      </c>
    </row>
    <row r="11">
      <c r="A11" s="25" t="n"/>
      <c r="B11" s="11" t="n"/>
      <c r="C11" s="11" t="n"/>
      <c r="D11" s="11" t="n"/>
      <c r="E11" s="11" t="n"/>
      <c r="F11" s="16" t="n"/>
      <c r="G11" s="16">
        <f>IF($A11="","",N(G10)+IF($B11="Incasso",$F11,-$F11))</f>
        <v/>
      </c>
    </row>
    <row r="12">
      <c r="A12" s="22" t="n"/>
      <c r="B12" s="23" t="n"/>
      <c r="C12" s="23" t="n"/>
      <c r="D12" s="23" t="n"/>
      <c r="E12" s="23" t="n"/>
      <c r="F12" s="24" t="n"/>
      <c r="G12" s="24">
        <f>IF($A12="","",N(G11)+IF($B12="Incasso",$F12,-$F12))</f>
        <v/>
      </c>
    </row>
    <row r="13">
      <c r="A13" s="25" t="n"/>
      <c r="B13" s="11" t="n"/>
      <c r="C13" s="11" t="n"/>
      <c r="D13" s="11" t="n"/>
      <c r="E13" s="11" t="n"/>
      <c r="F13" s="16" t="n"/>
      <c r="G13" s="16">
        <f>IF($A13="","",N(G12)+IF($B13="Incasso",$F13,-$F13))</f>
        <v/>
      </c>
    </row>
    <row r="14">
      <c r="A14" s="22" t="n"/>
      <c r="B14" s="23" t="n"/>
      <c r="C14" s="23" t="n"/>
      <c r="D14" s="23" t="n"/>
      <c r="E14" s="23" t="n"/>
      <c r="F14" s="24" t="n"/>
      <c r="G14" s="24">
        <f>IF($A14="","",N(G13)+IF($B14="Incasso",$F14,-$F14))</f>
        <v/>
      </c>
    </row>
    <row r="15">
      <c r="A15" s="25" t="n"/>
      <c r="B15" s="11" t="n"/>
      <c r="C15" s="11" t="n"/>
      <c r="D15" s="11" t="n"/>
      <c r="E15" s="11" t="n"/>
      <c r="F15" s="16" t="n"/>
      <c r="G15" s="16">
        <f>IF($A15="","",N(G14)+IF($B15="Incasso",$F15,-$F15))</f>
        <v/>
      </c>
    </row>
    <row r="16">
      <c r="A16" s="22" t="n"/>
      <c r="B16" s="23" t="n"/>
      <c r="C16" s="23" t="n"/>
      <c r="D16" s="23" t="n"/>
      <c r="E16" s="23" t="n"/>
      <c r="F16" s="24" t="n"/>
      <c r="G16" s="24">
        <f>IF($A16="","",N(G15)+IF($B16="Incasso",$F16,-$F16))</f>
        <v/>
      </c>
    </row>
    <row r="17">
      <c r="A17" s="25" t="n"/>
      <c r="B17" s="11" t="n"/>
      <c r="C17" s="11" t="n"/>
      <c r="D17" s="11" t="n"/>
      <c r="E17" s="11" t="n"/>
      <c r="F17" s="16" t="n"/>
      <c r="G17" s="16">
        <f>IF($A17="","",N(G16)+IF($B17="Incasso",$F17,-$F17))</f>
        <v/>
      </c>
    </row>
    <row r="18">
      <c r="A18" s="22" t="n"/>
      <c r="B18" s="23" t="n"/>
      <c r="C18" s="23" t="n"/>
      <c r="D18" s="23" t="n"/>
      <c r="E18" s="23" t="n"/>
      <c r="F18" s="24" t="n"/>
      <c r="G18" s="24">
        <f>IF($A18="","",N(G17)+IF($B18="Incasso",$F18,-$F18))</f>
        <v/>
      </c>
    </row>
    <row r="19">
      <c r="A19" s="25" t="n"/>
      <c r="B19" s="11" t="n"/>
      <c r="C19" s="11" t="n"/>
      <c r="D19" s="11" t="n"/>
      <c r="E19" s="11" t="n"/>
      <c r="F19" s="16" t="n"/>
      <c r="G19" s="16">
        <f>IF($A19="","",N(G18)+IF($B19="Incasso",$F19,-$F19))</f>
        <v/>
      </c>
    </row>
    <row r="20">
      <c r="A20" s="22" t="n"/>
      <c r="B20" s="23" t="n"/>
      <c r="C20" s="23" t="n"/>
      <c r="D20" s="23" t="n"/>
      <c r="E20" s="23" t="n"/>
      <c r="F20" s="24" t="n"/>
      <c r="G20" s="24">
        <f>IF($A20="","",N(G19)+IF($B20="Incasso",$F20,-$F20))</f>
        <v/>
      </c>
    </row>
    <row r="21">
      <c r="A21" s="25" t="n"/>
      <c r="B21" s="11" t="n"/>
      <c r="C21" s="11" t="n"/>
      <c r="D21" s="11" t="n"/>
      <c r="E21" s="11" t="n"/>
      <c r="F21" s="16" t="n"/>
      <c r="G21" s="16">
        <f>IF($A21="","",N(G20)+IF($B21="Incasso",$F21,-$F21))</f>
        <v/>
      </c>
    </row>
    <row r="22">
      <c r="A22" s="22" t="n"/>
      <c r="B22" s="23" t="n"/>
      <c r="C22" s="23" t="n"/>
      <c r="D22" s="23" t="n"/>
      <c r="E22" s="23" t="n"/>
      <c r="F22" s="24" t="n"/>
      <c r="G22" s="24">
        <f>IF($A22="","",N(G21)+IF($B22="Incasso",$F22,-$F22))</f>
        <v/>
      </c>
    </row>
    <row r="23">
      <c r="A23" s="25" t="n"/>
      <c r="B23" s="11" t="n"/>
      <c r="C23" s="11" t="n"/>
      <c r="D23" s="11" t="n"/>
      <c r="E23" s="11" t="n"/>
      <c r="F23" s="16" t="n"/>
      <c r="G23" s="16">
        <f>IF($A23="","",N(G22)+IF($B23="Incasso",$F23,-$F23))</f>
        <v/>
      </c>
    </row>
    <row r="24">
      <c r="A24" s="22" t="n"/>
      <c r="B24" s="23" t="n"/>
      <c r="C24" s="23" t="n"/>
      <c r="D24" s="23" t="n"/>
      <c r="E24" s="23" t="n"/>
      <c r="F24" s="24" t="n"/>
      <c r="G24" s="24">
        <f>IF($A24="","",N(G23)+IF($B24="Incasso",$F24,-$F24))</f>
        <v/>
      </c>
    </row>
    <row r="25">
      <c r="A25" s="25" t="n"/>
      <c r="B25" s="11" t="n"/>
      <c r="C25" s="11" t="n"/>
      <c r="D25" s="11" t="n"/>
      <c r="E25" s="11" t="n"/>
      <c r="F25" s="16" t="n"/>
      <c r="G25" s="16">
        <f>IF($A25="","",N(G24)+IF($B25="Incasso",$F25,-$F25))</f>
        <v/>
      </c>
    </row>
    <row r="26">
      <c r="A26" s="22" t="n"/>
      <c r="B26" s="23" t="n"/>
      <c r="C26" s="23" t="n"/>
      <c r="D26" s="23" t="n"/>
      <c r="E26" s="23" t="n"/>
      <c r="F26" s="24" t="n"/>
      <c r="G26" s="24">
        <f>IF($A26="","",N(G25)+IF($B26="Incasso",$F26,-$F26))</f>
        <v/>
      </c>
    </row>
    <row r="27">
      <c r="A27" s="25" t="n"/>
      <c r="B27" s="11" t="n"/>
      <c r="C27" s="11" t="n"/>
      <c r="D27" s="11" t="n"/>
      <c r="E27" s="11" t="n"/>
      <c r="F27" s="16" t="n"/>
      <c r="G27" s="16">
        <f>IF($A27="","",N(G26)+IF($B27="Incasso",$F27,-$F27))</f>
        <v/>
      </c>
    </row>
    <row r="28">
      <c r="A28" s="22" t="n"/>
      <c r="B28" s="23" t="n"/>
      <c r="C28" s="23" t="n"/>
      <c r="D28" s="23" t="n"/>
      <c r="E28" s="23" t="n"/>
      <c r="F28" s="24" t="n"/>
      <c r="G28" s="24">
        <f>IF($A28="","",N(G27)+IF($B28="Incasso",$F28,-$F28))</f>
        <v/>
      </c>
    </row>
    <row r="29">
      <c r="A29" s="25" t="n"/>
      <c r="B29" s="11" t="n"/>
      <c r="C29" s="11" t="n"/>
      <c r="D29" s="11" t="n"/>
      <c r="E29" s="11" t="n"/>
      <c r="F29" s="16" t="n"/>
      <c r="G29" s="16">
        <f>IF($A29="","",N(G28)+IF($B29="Incasso",$F29,-$F29))</f>
        <v/>
      </c>
    </row>
    <row r="30">
      <c r="A30" s="22" t="n"/>
      <c r="B30" s="23" t="n"/>
      <c r="C30" s="23" t="n"/>
      <c r="D30" s="23" t="n"/>
      <c r="E30" s="23" t="n"/>
      <c r="F30" s="24" t="n"/>
      <c r="G30" s="24">
        <f>IF($A30="","",N(G29)+IF($B30="Incasso",$F30,-$F30))</f>
        <v/>
      </c>
    </row>
    <row r="31">
      <c r="A31" s="25" t="n"/>
      <c r="B31" s="11" t="n"/>
      <c r="C31" s="11" t="n"/>
      <c r="D31" s="11" t="n"/>
      <c r="E31" s="11" t="n"/>
      <c r="F31" s="16" t="n"/>
      <c r="G31" s="16">
        <f>IF($A31="","",N(G30)+IF($B31="Incasso",$F31,-$F31))</f>
        <v/>
      </c>
    </row>
    <row r="32">
      <c r="A32" s="22" t="n"/>
      <c r="B32" s="23" t="n"/>
      <c r="C32" s="23" t="n"/>
      <c r="D32" s="23" t="n"/>
      <c r="E32" s="23" t="n"/>
      <c r="F32" s="24" t="n"/>
      <c r="G32" s="24">
        <f>IF($A32="","",N(G31)+IF($B32="Incasso",$F32,-$F32))</f>
        <v/>
      </c>
    </row>
    <row r="33">
      <c r="A33" s="25" t="n"/>
      <c r="B33" s="11" t="n"/>
      <c r="C33" s="11" t="n"/>
      <c r="D33" s="11" t="n"/>
      <c r="E33" s="11" t="n"/>
      <c r="F33" s="16" t="n"/>
      <c r="G33" s="16">
        <f>IF($A33="","",N(G32)+IF($B33="Incasso",$F33,-$F33))</f>
        <v/>
      </c>
    </row>
    <row r="34">
      <c r="A34" s="22" t="n"/>
      <c r="B34" s="23" t="n"/>
      <c r="C34" s="23" t="n"/>
      <c r="D34" s="23" t="n"/>
      <c r="E34" s="23" t="n"/>
      <c r="F34" s="24" t="n"/>
      <c r="G34" s="24">
        <f>IF($A34="","",N(G33)+IF($B34="Incasso",$F34,-$F34))</f>
        <v/>
      </c>
    </row>
    <row r="35">
      <c r="A35" s="25" t="n"/>
      <c r="B35" s="11" t="n"/>
      <c r="C35" s="11" t="n"/>
      <c r="D35" s="11" t="n"/>
      <c r="E35" s="11" t="n"/>
      <c r="F35" s="16" t="n"/>
      <c r="G35" s="16">
        <f>IF($A35="","",N(G34)+IF($B35="Incasso",$F35,-$F35))</f>
        <v/>
      </c>
    </row>
    <row r="36">
      <c r="A36" s="22" t="n"/>
      <c r="B36" s="23" t="n"/>
      <c r="C36" s="23" t="n"/>
      <c r="D36" s="23" t="n"/>
      <c r="E36" s="23" t="n"/>
      <c r="F36" s="24" t="n"/>
      <c r="G36" s="24">
        <f>IF($A36="","",N(G35)+IF($B36="Incasso",$F36,-$F36))</f>
        <v/>
      </c>
    </row>
    <row r="37">
      <c r="A37" s="25" t="n"/>
      <c r="B37" s="11" t="n"/>
      <c r="C37" s="11" t="n"/>
      <c r="D37" s="11" t="n"/>
      <c r="E37" s="11" t="n"/>
      <c r="F37" s="16" t="n"/>
      <c r="G37" s="16">
        <f>IF($A37="","",N(G36)+IF($B37="Incasso",$F37,-$F37))</f>
        <v/>
      </c>
    </row>
    <row r="38">
      <c r="A38" s="22" t="n"/>
      <c r="B38" s="23" t="n"/>
      <c r="C38" s="23" t="n"/>
      <c r="D38" s="23" t="n"/>
      <c r="E38" s="23" t="n"/>
      <c r="F38" s="24" t="n"/>
      <c r="G38" s="24">
        <f>IF($A38="","",N(G37)+IF($B38="Incasso",$F38,-$F38))</f>
        <v/>
      </c>
    </row>
    <row r="39">
      <c r="A39" s="25" t="n"/>
      <c r="B39" s="11" t="n"/>
      <c r="C39" s="11" t="n"/>
      <c r="D39" s="11" t="n"/>
      <c r="E39" s="11" t="n"/>
      <c r="F39" s="16" t="n"/>
      <c r="G39" s="16">
        <f>IF($A39="","",N(G38)+IF($B39="Incasso",$F39,-$F39))</f>
        <v/>
      </c>
    </row>
    <row r="40">
      <c r="A40" s="22" t="n"/>
      <c r="B40" s="23" t="n"/>
      <c r="C40" s="23" t="n"/>
      <c r="D40" s="23" t="n"/>
      <c r="E40" s="23" t="n"/>
      <c r="F40" s="24" t="n"/>
      <c r="G40" s="24">
        <f>IF($A40="","",N(G39)+IF($B40="Incasso",$F40,-$F40))</f>
        <v/>
      </c>
    </row>
    <row r="41">
      <c r="A41" s="25" t="n"/>
      <c r="B41" s="11" t="n"/>
      <c r="C41" s="11" t="n"/>
      <c r="D41" s="11" t="n"/>
      <c r="E41" s="11" t="n"/>
      <c r="F41" s="16" t="n"/>
      <c r="G41" s="16">
        <f>IF($A41="","",N(G40)+IF($B41="Incasso",$F41,-$F41))</f>
        <v/>
      </c>
    </row>
    <row r="42">
      <c r="A42" s="22" t="n"/>
      <c r="B42" s="23" t="n"/>
      <c r="C42" s="23" t="n"/>
      <c r="D42" s="23" t="n"/>
      <c r="E42" s="23" t="n"/>
      <c r="F42" s="24" t="n"/>
      <c r="G42" s="24">
        <f>IF($A42="","",N(G41)+IF($B42="Incasso",$F42,-$F42))</f>
        <v/>
      </c>
    </row>
    <row r="43">
      <c r="A43" s="25" t="n"/>
      <c r="B43" s="11" t="n"/>
      <c r="C43" s="11" t="n"/>
      <c r="D43" s="11" t="n"/>
      <c r="E43" s="11" t="n"/>
      <c r="F43" s="16" t="n"/>
      <c r="G43" s="16">
        <f>IF($A43="","",N(G42)+IF($B43="Incasso",$F43,-$F43))</f>
        <v/>
      </c>
    </row>
    <row r="44">
      <c r="A44" s="22" t="n"/>
      <c r="B44" s="23" t="n"/>
      <c r="C44" s="23" t="n"/>
      <c r="D44" s="23" t="n"/>
      <c r="E44" s="23" t="n"/>
      <c r="F44" s="24" t="n"/>
      <c r="G44" s="24">
        <f>IF($A44="","",N(G43)+IF($B44="Incasso",$F44,-$F44))</f>
        <v/>
      </c>
    </row>
    <row r="45">
      <c r="A45" s="25" t="n"/>
      <c r="B45" s="11" t="n"/>
      <c r="C45" s="11" t="n"/>
      <c r="D45" s="11" t="n"/>
      <c r="E45" s="11" t="n"/>
      <c r="F45" s="16" t="n"/>
      <c r="G45" s="16">
        <f>IF($A45="","",N(G44)+IF($B45="Incasso",$F45,-$F45))</f>
        <v/>
      </c>
    </row>
    <row r="46">
      <c r="A46" s="22" t="n"/>
      <c r="B46" s="23" t="n"/>
      <c r="C46" s="23" t="n"/>
      <c r="D46" s="23" t="n"/>
      <c r="E46" s="23" t="n"/>
      <c r="F46" s="24" t="n"/>
      <c r="G46" s="24">
        <f>IF($A46="","",N(G45)+IF($B46="Incasso",$F46,-$F46))</f>
        <v/>
      </c>
    </row>
    <row r="47">
      <c r="A47" s="25" t="n"/>
      <c r="B47" s="11" t="n"/>
      <c r="C47" s="11" t="n"/>
      <c r="D47" s="11" t="n"/>
      <c r="E47" s="11" t="n"/>
      <c r="F47" s="16" t="n"/>
      <c r="G47" s="16">
        <f>IF($A47="","",N(G46)+IF($B47="Incasso",$F47,-$F47))</f>
        <v/>
      </c>
    </row>
    <row r="48">
      <c r="A48" s="22" t="n"/>
      <c r="B48" s="23" t="n"/>
      <c r="C48" s="23" t="n"/>
      <c r="D48" s="23" t="n"/>
      <c r="E48" s="23" t="n"/>
      <c r="F48" s="24" t="n"/>
      <c r="G48" s="24">
        <f>IF($A48="","",N(G47)+IF($B48="Incasso",$F48,-$F48))</f>
        <v/>
      </c>
    </row>
    <row r="49">
      <c r="A49" s="25" t="n"/>
      <c r="B49" s="11" t="n"/>
      <c r="C49" s="11" t="n"/>
      <c r="D49" s="11" t="n"/>
      <c r="E49" s="11" t="n"/>
      <c r="F49" s="16" t="n"/>
      <c r="G49" s="16">
        <f>IF($A49="","",N(G48)+IF($B49="Incasso",$F49,-$F49))</f>
        <v/>
      </c>
    </row>
    <row r="50">
      <c r="A50" s="22" t="n"/>
      <c r="B50" s="23" t="n"/>
      <c r="C50" s="23" t="n"/>
      <c r="D50" s="23" t="n"/>
      <c r="E50" s="23" t="n"/>
      <c r="F50" s="24" t="n"/>
      <c r="G50" s="24">
        <f>IF($A50="","",N(G49)+IF($B50="Incasso",$F50,-$F50))</f>
        <v/>
      </c>
    </row>
    <row r="51">
      <c r="A51" s="25" t="n"/>
      <c r="B51" s="11" t="n"/>
      <c r="C51" s="11" t="n"/>
      <c r="D51" s="11" t="n"/>
      <c r="E51" s="11" t="n"/>
      <c r="F51" s="16" t="n"/>
      <c r="G51" s="16">
        <f>IF($A51="","",N(G50)+IF($B51="Incasso",$F51,-$F51))</f>
        <v/>
      </c>
    </row>
    <row r="52">
      <c r="A52" s="22" t="n"/>
      <c r="B52" s="23" t="n"/>
      <c r="C52" s="23" t="n"/>
      <c r="D52" s="23" t="n"/>
      <c r="E52" s="23" t="n"/>
      <c r="F52" s="24" t="n"/>
      <c r="G52" s="24">
        <f>IF($A52="","",N(G51)+IF($B52="Incasso",$F52,-$F52))</f>
        <v/>
      </c>
    </row>
    <row r="53">
      <c r="A53" s="25" t="n"/>
      <c r="B53" s="11" t="n"/>
      <c r="C53" s="11" t="n"/>
      <c r="D53" s="11" t="n"/>
      <c r="E53" s="11" t="n"/>
      <c r="F53" s="16" t="n"/>
      <c r="G53" s="16">
        <f>IF($A53="","",N(G52)+IF($B53="Incasso",$F53,-$F53))</f>
        <v/>
      </c>
    </row>
    <row r="54">
      <c r="A54" s="22" t="n"/>
      <c r="B54" s="23" t="n"/>
      <c r="C54" s="23" t="n"/>
      <c r="D54" s="23" t="n"/>
      <c r="E54" s="23" t="n"/>
      <c r="F54" s="24" t="n"/>
      <c r="G54" s="24">
        <f>IF($A54="","",N(G53)+IF($B54="Incasso",$F54,-$F54))</f>
        <v/>
      </c>
    </row>
    <row r="55">
      <c r="A55" s="25" t="n"/>
      <c r="B55" s="11" t="n"/>
      <c r="C55" s="11" t="n"/>
      <c r="D55" s="11" t="n"/>
      <c r="E55" s="11" t="n"/>
      <c r="F55" s="16" t="n"/>
      <c r="G55" s="16">
        <f>IF($A55="","",N(G54)+IF($B55="Incasso",$F55,-$F55))</f>
        <v/>
      </c>
    </row>
    <row r="56">
      <c r="A56" s="22" t="n"/>
      <c r="B56" s="23" t="n"/>
      <c r="C56" s="23" t="n"/>
      <c r="D56" s="23" t="n"/>
      <c r="E56" s="23" t="n"/>
      <c r="F56" s="24" t="n"/>
      <c r="G56" s="24">
        <f>IF($A56="","",N(G55)+IF($B56="Incasso",$F56,-$F56))</f>
        <v/>
      </c>
    </row>
    <row r="57">
      <c r="A57" s="25" t="n"/>
      <c r="B57" s="11" t="n"/>
      <c r="C57" s="11" t="n"/>
      <c r="D57" s="11" t="n"/>
      <c r="E57" s="11" t="n"/>
      <c r="F57" s="16" t="n"/>
      <c r="G57" s="16">
        <f>IF($A57="","",N(G56)+IF($B57="Incasso",$F57,-$F57))</f>
        <v/>
      </c>
    </row>
    <row r="58">
      <c r="A58" s="22" t="n"/>
      <c r="B58" s="23" t="n"/>
      <c r="C58" s="23" t="n"/>
      <c r="D58" s="23" t="n"/>
      <c r="E58" s="23" t="n"/>
      <c r="F58" s="24" t="n"/>
      <c r="G58" s="24">
        <f>IF($A58="","",N(G57)+IF($B58="Incasso",$F58,-$F58))</f>
        <v/>
      </c>
    </row>
    <row r="59">
      <c r="A59" s="25" t="n"/>
      <c r="B59" s="11" t="n"/>
      <c r="C59" s="11" t="n"/>
      <c r="D59" s="11" t="n"/>
      <c r="E59" s="11" t="n"/>
      <c r="F59" s="16" t="n"/>
      <c r="G59" s="16">
        <f>IF($A59="","",N(G58)+IF($B59="Incasso",$F59,-$F59))</f>
        <v/>
      </c>
    </row>
    <row r="60">
      <c r="A60" s="22" t="n"/>
      <c r="B60" s="23" t="n"/>
      <c r="C60" s="23" t="n"/>
      <c r="D60" s="23" t="n"/>
      <c r="E60" s="23" t="n"/>
      <c r="F60" s="24" t="n"/>
      <c r="G60" s="24">
        <f>IF($A60="","",N(G59)+IF($B60="Incasso",$F60,-$F60))</f>
        <v/>
      </c>
    </row>
    <row r="61">
      <c r="A61" s="25" t="n"/>
      <c r="B61" s="11" t="n"/>
      <c r="C61" s="11" t="n"/>
      <c r="D61" s="11" t="n"/>
      <c r="E61" s="11" t="n"/>
      <c r="F61" s="16" t="n"/>
      <c r="G61" s="16">
        <f>IF($A61="","",N(G60)+IF($B61="Incasso",$F61,-$F61))</f>
        <v/>
      </c>
    </row>
    <row r="62">
      <c r="A62" s="22" t="n"/>
      <c r="B62" s="23" t="n"/>
      <c r="C62" s="23" t="n"/>
      <c r="D62" s="23" t="n"/>
      <c r="E62" s="23" t="n"/>
      <c r="F62" s="24" t="n"/>
      <c r="G62" s="24">
        <f>IF($A62="","",N(G61)+IF($B62="Incasso",$F62,-$F62))</f>
        <v/>
      </c>
    </row>
    <row r="63">
      <c r="A63" s="25" t="n"/>
      <c r="B63" s="11" t="n"/>
      <c r="C63" s="11" t="n"/>
      <c r="D63" s="11" t="n"/>
      <c r="E63" s="11" t="n"/>
      <c r="F63" s="16" t="n"/>
      <c r="G63" s="16">
        <f>IF($A63="","",N(G62)+IF($B63="Incasso",$F63,-$F63))</f>
        <v/>
      </c>
    </row>
    <row r="64">
      <c r="A64" s="22" t="n"/>
      <c r="B64" s="23" t="n"/>
      <c r="C64" s="23" t="n"/>
      <c r="D64" s="23" t="n"/>
      <c r="E64" s="23" t="n"/>
      <c r="F64" s="24" t="n"/>
      <c r="G64" s="24">
        <f>IF($A64="","",N(G63)+IF($B64="Incasso",$F64,-$F64))</f>
        <v/>
      </c>
    </row>
    <row r="65">
      <c r="A65" s="25" t="n"/>
      <c r="B65" s="11" t="n"/>
      <c r="C65" s="11" t="n"/>
      <c r="D65" s="11" t="n"/>
      <c r="E65" s="11" t="n"/>
      <c r="F65" s="16" t="n"/>
      <c r="G65" s="16">
        <f>IF($A65="","",N(G64)+IF($B65="Incasso",$F65,-$F65))</f>
        <v/>
      </c>
    </row>
    <row r="66">
      <c r="A66" s="22" t="n"/>
      <c r="B66" s="23" t="n"/>
      <c r="C66" s="23" t="n"/>
      <c r="D66" s="23" t="n"/>
      <c r="E66" s="23" t="n"/>
      <c r="F66" s="24" t="n"/>
      <c r="G66" s="24">
        <f>IF($A66="","",N(G65)+IF($B66="Incasso",$F66,-$F66))</f>
        <v/>
      </c>
    </row>
    <row r="67">
      <c r="A67" s="25" t="n"/>
      <c r="B67" s="11" t="n"/>
      <c r="C67" s="11" t="n"/>
      <c r="D67" s="11" t="n"/>
      <c r="E67" s="11" t="n"/>
      <c r="F67" s="16" t="n"/>
      <c r="G67" s="16">
        <f>IF($A67="","",N(G66)+IF($B67="Incasso",$F67,-$F67))</f>
        <v/>
      </c>
    </row>
    <row r="68">
      <c r="A68" s="22" t="n"/>
      <c r="B68" s="23" t="n"/>
      <c r="C68" s="23" t="n"/>
      <c r="D68" s="23" t="n"/>
      <c r="E68" s="23" t="n"/>
      <c r="F68" s="24" t="n"/>
      <c r="G68" s="24">
        <f>IF($A68="","",N(G67)+IF($B68="Incasso",$F68,-$F68))</f>
        <v/>
      </c>
    </row>
    <row r="69">
      <c r="A69" s="25" t="n"/>
      <c r="B69" s="11" t="n"/>
      <c r="C69" s="11" t="n"/>
      <c r="D69" s="11" t="n"/>
      <c r="E69" s="11" t="n"/>
      <c r="F69" s="16" t="n"/>
      <c r="G69" s="16">
        <f>IF($A69="","",N(G68)+IF($B69="Incasso",$F69,-$F69))</f>
        <v/>
      </c>
    </row>
    <row r="70">
      <c r="A70" s="22" t="n"/>
      <c r="B70" s="23" t="n"/>
      <c r="C70" s="23" t="n"/>
      <c r="D70" s="23" t="n"/>
      <c r="E70" s="23" t="n"/>
      <c r="F70" s="24" t="n"/>
      <c r="G70" s="24">
        <f>IF($A70="","",N(G69)+IF($B70="Incasso",$F70,-$F70))</f>
        <v/>
      </c>
    </row>
    <row r="71">
      <c r="A71" s="25" t="n"/>
      <c r="B71" s="11" t="n"/>
      <c r="C71" s="11" t="n"/>
      <c r="D71" s="11" t="n"/>
      <c r="E71" s="11" t="n"/>
      <c r="F71" s="16" t="n"/>
      <c r="G71" s="16">
        <f>IF($A71="","",N(G70)+IF($B71="Incasso",$F71,-$F71))</f>
        <v/>
      </c>
    </row>
    <row r="72">
      <c r="A72" s="22" t="n"/>
      <c r="B72" s="23" t="n"/>
      <c r="C72" s="23" t="n"/>
      <c r="D72" s="23" t="n"/>
      <c r="E72" s="23" t="n"/>
      <c r="F72" s="24" t="n"/>
      <c r="G72" s="24">
        <f>IF($A72="","",N(G71)+IF($B72="Incasso",$F72,-$F72))</f>
        <v/>
      </c>
    </row>
    <row r="73">
      <c r="A73" s="25" t="n"/>
      <c r="B73" s="11" t="n"/>
      <c r="C73" s="11" t="n"/>
      <c r="D73" s="11" t="n"/>
      <c r="E73" s="11" t="n"/>
      <c r="F73" s="16" t="n"/>
      <c r="G73" s="16">
        <f>IF($A73="","",N(G72)+IF($B73="Incasso",$F73,-$F73))</f>
        <v/>
      </c>
    </row>
    <row r="74">
      <c r="A74" s="22" t="n"/>
      <c r="B74" s="23" t="n"/>
      <c r="C74" s="23" t="n"/>
      <c r="D74" s="23" t="n"/>
      <c r="E74" s="23" t="n"/>
      <c r="F74" s="24" t="n"/>
      <c r="G74" s="24">
        <f>IF($A74="","",N(G73)+IF($B74="Incasso",$F74,-$F74))</f>
        <v/>
      </c>
    </row>
    <row r="75">
      <c r="A75" s="25" t="n"/>
      <c r="B75" s="11" t="n"/>
      <c r="C75" s="11" t="n"/>
      <c r="D75" s="11" t="n"/>
      <c r="E75" s="11" t="n"/>
      <c r="F75" s="16" t="n"/>
      <c r="G75" s="16">
        <f>IF($A75="","",N(G74)+IF($B75="Incasso",$F75,-$F75))</f>
        <v/>
      </c>
    </row>
    <row r="76">
      <c r="A76" s="22" t="n"/>
      <c r="B76" s="23" t="n"/>
      <c r="C76" s="23" t="n"/>
      <c r="D76" s="23" t="n"/>
      <c r="E76" s="23" t="n"/>
      <c r="F76" s="24" t="n"/>
      <c r="G76" s="24">
        <f>IF($A76="","",N(G75)+IF($B76="Incasso",$F76,-$F76))</f>
        <v/>
      </c>
    </row>
    <row r="77">
      <c r="A77" s="25" t="n"/>
      <c r="B77" s="11" t="n"/>
      <c r="C77" s="11" t="n"/>
      <c r="D77" s="11" t="n"/>
      <c r="E77" s="11" t="n"/>
      <c r="F77" s="16" t="n"/>
      <c r="G77" s="16">
        <f>IF($A77="","",N(G76)+IF($B77="Incasso",$F77,-$F77))</f>
        <v/>
      </c>
    </row>
    <row r="78">
      <c r="A78" s="22" t="n"/>
      <c r="B78" s="23" t="n"/>
      <c r="C78" s="23" t="n"/>
      <c r="D78" s="23" t="n"/>
      <c r="E78" s="23" t="n"/>
      <c r="F78" s="24" t="n"/>
      <c r="G78" s="24">
        <f>IF($A78="","",N(G77)+IF($B78="Incasso",$F78,-$F78))</f>
        <v/>
      </c>
    </row>
    <row r="79">
      <c r="A79" s="25" t="n"/>
      <c r="B79" s="11" t="n"/>
      <c r="C79" s="11" t="n"/>
      <c r="D79" s="11" t="n"/>
      <c r="E79" s="11" t="n"/>
      <c r="F79" s="16" t="n"/>
      <c r="G79" s="16">
        <f>IF($A79="","",N(G78)+IF($B79="Incasso",$F79,-$F79))</f>
        <v/>
      </c>
    </row>
    <row r="80">
      <c r="A80" s="22" t="n"/>
      <c r="B80" s="23" t="n"/>
      <c r="C80" s="23" t="n"/>
      <c r="D80" s="23" t="n"/>
      <c r="E80" s="23" t="n"/>
      <c r="F80" s="24" t="n"/>
      <c r="G80" s="24">
        <f>IF($A80="","",N(G79)+IF($B80="Incasso",$F80,-$F80))</f>
        <v/>
      </c>
    </row>
    <row r="81">
      <c r="A81" s="25" t="n"/>
      <c r="B81" s="11" t="n"/>
      <c r="C81" s="11" t="n"/>
      <c r="D81" s="11" t="n"/>
      <c r="E81" s="11" t="n"/>
      <c r="F81" s="16" t="n"/>
      <c r="G81" s="16">
        <f>IF($A81="","",N(G80)+IF($B81="Incasso",$F81,-$F81))</f>
        <v/>
      </c>
    </row>
    <row r="82">
      <c r="A82" s="22" t="n"/>
      <c r="B82" s="23" t="n"/>
      <c r="C82" s="23" t="n"/>
      <c r="D82" s="23" t="n"/>
      <c r="E82" s="23" t="n"/>
      <c r="F82" s="24" t="n"/>
      <c r="G82" s="24">
        <f>IF($A82="","",N(G81)+IF($B82="Incasso",$F82,-$F82))</f>
        <v/>
      </c>
    </row>
    <row r="83">
      <c r="A83" s="25" t="n"/>
      <c r="B83" s="11" t="n"/>
      <c r="C83" s="11" t="n"/>
      <c r="D83" s="11" t="n"/>
      <c r="E83" s="11" t="n"/>
      <c r="F83" s="16" t="n"/>
      <c r="G83" s="16">
        <f>IF($A83="","",N(G82)+IF($B83="Incasso",$F83,-$F83))</f>
        <v/>
      </c>
    </row>
    <row r="84">
      <c r="A84" s="22" t="n"/>
      <c r="B84" s="23" t="n"/>
      <c r="C84" s="23" t="n"/>
      <c r="D84" s="23" t="n"/>
      <c r="E84" s="23" t="n"/>
      <c r="F84" s="24" t="n"/>
      <c r="G84" s="24">
        <f>IF($A84="","",N(G83)+IF($B84="Incasso",$F84,-$F84))</f>
        <v/>
      </c>
    </row>
    <row r="85">
      <c r="A85" s="25" t="n"/>
      <c r="B85" s="11" t="n"/>
      <c r="C85" s="11" t="n"/>
      <c r="D85" s="11" t="n"/>
      <c r="E85" s="11" t="n"/>
      <c r="F85" s="16" t="n"/>
      <c r="G85" s="16">
        <f>IF($A85="","",N(G84)+IF($B85="Incasso",$F85,-$F85))</f>
        <v/>
      </c>
    </row>
    <row r="86">
      <c r="A86" s="22" t="n"/>
      <c r="B86" s="23" t="n"/>
      <c r="C86" s="23" t="n"/>
      <c r="D86" s="23" t="n"/>
      <c r="E86" s="23" t="n"/>
      <c r="F86" s="24" t="n"/>
      <c r="G86" s="24">
        <f>IF($A86="","",N(G85)+IF($B86="Incasso",$F86,-$F86))</f>
        <v/>
      </c>
    </row>
    <row r="87">
      <c r="A87" s="25" t="n"/>
      <c r="B87" s="11" t="n"/>
      <c r="C87" s="11" t="n"/>
      <c r="D87" s="11" t="n"/>
      <c r="E87" s="11" t="n"/>
      <c r="F87" s="16" t="n"/>
      <c r="G87" s="16">
        <f>IF($A87="","",N(G86)+IF($B87="Incasso",$F87,-$F87))</f>
        <v/>
      </c>
    </row>
    <row r="88">
      <c r="A88" s="22" t="n"/>
      <c r="B88" s="23" t="n"/>
      <c r="C88" s="23" t="n"/>
      <c r="D88" s="23" t="n"/>
      <c r="E88" s="23" t="n"/>
      <c r="F88" s="24" t="n"/>
      <c r="G88" s="24">
        <f>IF($A88="","",N(G87)+IF($B88="Incasso",$F88,-$F88))</f>
        <v/>
      </c>
    </row>
    <row r="89">
      <c r="A89" s="25" t="n"/>
      <c r="B89" s="11" t="n"/>
      <c r="C89" s="11" t="n"/>
      <c r="D89" s="11" t="n"/>
      <c r="E89" s="11" t="n"/>
      <c r="F89" s="16" t="n"/>
      <c r="G89" s="16">
        <f>IF($A89="","",N(G88)+IF($B89="Incasso",$F89,-$F89))</f>
        <v/>
      </c>
    </row>
    <row r="90">
      <c r="A90" s="22" t="n"/>
      <c r="B90" s="23" t="n"/>
      <c r="C90" s="23" t="n"/>
      <c r="D90" s="23" t="n"/>
      <c r="E90" s="23" t="n"/>
      <c r="F90" s="24" t="n"/>
      <c r="G90" s="24">
        <f>IF($A90="","",N(G89)+IF($B90="Incasso",$F90,-$F90))</f>
        <v/>
      </c>
    </row>
    <row r="91">
      <c r="A91" s="25" t="n"/>
      <c r="B91" s="11" t="n"/>
      <c r="C91" s="11" t="n"/>
      <c r="D91" s="11" t="n"/>
      <c r="E91" s="11" t="n"/>
      <c r="F91" s="16" t="n"/>
      <c r="G91" s="16">
        <f>IF($A91="","",N(G90)+IF($B91="Incasso",$F91,-$F91))</f>
        <v/>
      </c>
    </row>
    <row r="92">
      <c r="A92" s="22" t="n"/>
      <c r="B92" s="23" t="n"/>
      <c r="C92" s="23" t="n"/>
      <c r="D92" s="23" t="n"/>
      <c r="E92" s="23" t="n"/>
      <c r="F92" s="24" t="n"/>
      <c r="G92" s="24">
        <f>IF($A92="","",N(G91)+IF($B92="Incasso",$F92,-$F92))</f>
        <v/>
      </c>
    </row>
    <row r="93">
      <c r="A93" s="25" t="n"/>
      <c r="B93" s="11" t="n"/>
      <c r="C93" s="11" t="n"/>
      <c r="D93" s="11" t="n"/>
      <c r="E93" s="11" t="n"/>
      <c r="F93" s="16" t="n"/>
      <c r="G93" s="16">
        <f>IF($A93="","",N(G92)+IF($B93="Incasso",$F93,-$F93))</f>
        <v/>
      </c>
    </row>
    <row r="94">
      <c r="A94" s="22" t="n"/>
      <c r="B94" s="23" t="n"/>
      <c r="C94" s="23" t="n"/>
      <c r="D94" s="23" t="n"/>
      <c r="E94" s="23" t="n"/>
      <c r="F94" s="24" t="n"/>
      <c r="G94" s="24">
        <f>IF($A94="","",N(G93)+IF($B94="Incasso",$F94,-$F94))</f>
        <v/>
      </c>
    </row>
    <row r="95">
      <c r="A95" s="25" t="n"/>
      <c r="B95" s="11" t="n"/>
      <c r="C95" s="11" t="n"/>
      <c r="D95" s="11" t="n"/>
      <c r="E95" s="11" t="n"/>
      <c r="F95" s="16" t="n"/>
      <c r="G95" s="16">
        <f>IF($A95="","",N(G94)+IF($B95="Incasso",$F95,-$F95))</f>
        <v/>
      </c>
    </row>
    <row r="96">
      <c r="A96" s="22" t="n"/>
      <c r="B96" s="23" t="n"/>
      <c r="C96" s="23" t="n"/>
      <c r="D96" s="23" t="n"/>
      <c r="E96" s="23" t="n"/>
      <c r="F96" s="24" t="n"/>
      <c r="G96" s="24">
        <f>IF($A96="","",N(G95)+IF($B96="Incasso",$F96,-$F96))</f>
        <v/>
      </c>
    </row>
    <row r="97">
      <c r="A97" s="25" t="n"/>
      <c r="B97" s="11" t="n"/>
      <c r="C97" s="11" t="n"/>
      <c r="D97" s="11" t="n"/>
      <c r="E97" s="11" t="n"/>
      <c r="F97" s="16" t="n"/>
      <c r="G97" s="16">
        <f>IF($A97="","",N(G96)+IF($B97="Incasso",$F97,-$F97))</f>
        <v/>
      </c>
    </row>
    <row r="98">
      <c r="A98" s="22" t="n"/>
      <c r="B98" s="23" t="n"/>
      <c r="C98" s="23" t="n"/>
      <c r="D98" s="23" t="n"/>
      <c r="E98" s="23" t="n"/>
      <c r="F98" s="24" t="n"/>
      <c r="G98" s="24">
        <f>IF($A98="","",N(G97)+IF($B98="Incasso",$F98,-$F98))</f>
        <v/>
      </c>
    </row>
    <row r="99">
      <c r="A99" s="25" t="n"/>
      <c r="B99" s="11" t="n"/>
      <c r="C99" s="11" t="n"/>
      <c r="D99" s="11" t="n"/>
      <c r="E99" s="11" t="n"/>
      <c r="F99" s="16" t="n"/>
      <c r="G99" s="16">
        <f>IF($A99="","",N(G98)+IF($B99="Incasso",$F99,-$F99))</f>
        <v/>
      </c>
    </row>
    <row r="100">
      <c r="A100" s="22" t="n"/>
      <c r="B100" s="23" t="n"/>
      <c r="C100" s="23" t="n"/>
      <c r="D100" s="23" t="n"/>
      <c r="E100" s="23" t="n"/>
      <c r="F100" s="24" t="n"/>
      <c r="G100" s="24">
        <f>IF($A100="","",N(G99)+IF($B100="Incasso",$F100,-$F100))</f>
        <v/>
      </c>
    </row>
    <row r="101">
      <c r="A101" s="25" t="n"/>
      <c r="B101" s="11" t="n"/>
      <c r="C101" s="11" t="n"/>
      <c r="D101" s="11" t="n"/>
      <c r="E101" s="11" t="n"/>
      <c r="F101" s="16" t="n"/>
      <c r="G101" s="16">
        <f>IF($A101="","",N(G100)+IF($B101="Incasso",$F101,-$F101))</f>
        <v/>
      </c>
    </row>
    <row r="102">
      <c r="A102" s="22" t="n"/>
      <c r="B102" s="23" t="n"/>
      <c r="C102" s="23" t="n"/>
      <c r="D102" s="23" t="n"/>
      <c r="E102" s="23" t="n"/>
      <c r="F102" s="24" t="n"/>
      <c r="G102" s="24">
        <f>IF($A102="","",N(G101)+IF($B102="Incasso",$F102,-$F102))</f>
        <v/>
      </c>
    </row>
    <row r="103">
      <c r="A103" s="25" t="n"/>
      <c r="B103" s="11" t="n"/>
      <c r="C103" s="11" t="n"/>
      <c r="D103" s="11" t="n"/>
      <c r="E103" s="11" t="n"/>
      <c r="F103" s="16" t="n"/>
      <c r="G103" s="16">
        <f>IF($A103="","",N(G102)+IF($B103="Incasso",$F103,-$F103))</f>
        <v/>
      </c>
    </row>
    <row r="104">
      <c r="A104" s="22" t="n"/>
      <c r="B104" s="23" t="n"/>
      <c r="C104" s="23" t="n"/>
      <c r="D104" s="23" t="n"/>
      <c r="E104" s="23" t="n"/>
      <c r="F104" s="24" t="n"/>
      <c r="G104" s="24">
        <f>IF($A104="","",N(G103)+IF($B104="Incasso",$F104,-$F104))</f>
        <v/>
      </c>
    </row>
    <row r="105">
      <c r="A105" s="25" t="n"/>
      <c r="B105" s="11" t="n"/>
      <c r="C105" s="11" t="n"/>
      <c r="D105" s="11" t="n"/>
      <c r="E105" s="11" t="n"/>
      <c r="F105" s="16" t="n"/>
      <c r="G105" s="16">
        <f>IF($A105="","",N(G104)+IF($B105="Incasso",$F105,-$F105))</f>
        <v/>
      </c>
    </row>
    <row r="106">
      <c r="A106" s="22" t="n"/>
      <c r="B106" s="23" t="n"/>
      <c r="C106" s="23" t="n"/>
      <c r="D106" s="23" t="n"/>
      <c r="E106" s="23" t="n"/>
      <c r="F106" s="24" t="n"/>
      <c r="G106" s="24">
        <f>IF($A106="","",N(G105)+IF($B106="Incasso",$F106,-$F106))</f>
        <v/>
      </c>
    </row>
    <row r="107">
      <c r="A107" s="25" t="n"/>
      <c r="B107" s="11" t="n"/>
      <c r="C107" s="11" t="n"/>
      <c r="D107" s="11" t="n"/>
      <c r="E107" s="11" t="n"/>
      <c r="F107" s="16" t="n"/>
      <c r="G107" s="16">
        <f>IF($A107="","",N(G106)+IF($B107="Incasso",$F107,-$F107))</f>
        <v/>
      </c>
    </row>
    <row r="108">
      <c r="A108" s="22" t="n"/>
      <c r="B108" s="23" t="n"/>
      <c r="C108" s="23" t="n"/>
      <c r="D108" s="23" t="n"/>
      <c r="E108" s="23" t="n"/>
      <c r="F108" s="24" t="n"/>
      <c r="G108" s="24">
        <f>IF($A108="","",N(G107)+IF($B108="Incasso",$F108,-$F108))</f>
        <v/>
      </c>
    </row>
    <row r="109">
      <c r="A109" s="25" t="n"/>
      <c r="B109" s="11" t="n"/>
      <c r="C109" s="11" t="n"/>
      <c r="D109" s="11" t="n"/>
      <c r="E109" s="11" t="n"/>
      <c r="F109" s="16" t="n"/>
      <c r="G109" s="16">
        <f>IF($A109="","",N(G108)+IF($B109="Incasso",$F109,-$F109))</f>
        <v/>
      </c>
    </row>
    <row r="110">
      <c r="A110" s="22" t="n"/>
      <c r="B110" s="23" t="n"/>
      <c r="C110" s="23" t="n"/>
      <c r="D110" s="23" t="n"/>
      <c r="E110" s="23" t="n"/>
      <c r="F110" s="24" t="n"/>
      <c r="G110" s="24">
        <f>IF($A110="","",N(G109)+IF($B110="Incasso",$F110,-$F110))</f>
        <v/>
      </c>
    </row>
    <row r="111">
      <c r="A111" s="25" t="n"/>
      <c r="B111" s="11" t="n"/>
      <c r="C111" s="11" t="n"/>
      <c r="D111" s="11" t="n"/>
      <c r="E111" s="11" t="n"/>
      <c r="F111" s="16" t="n"/>
      <c r="G111" s="16">
        <f>IF($A111="","",N(G110)+IF($B111="Incasso",$F111,-$F111))</f>
        <v/>
      </c>
    </row>
    <row r="112">
      <c r="A112" s="22" t="n"/>
      <c r="B112" s="23" t="n"/>
      <c r="C112" s="23" t="n"/>
      <c r="D112" s="23" t="n"/>
      <c r="E112" s="23" t="n"/>
      <c r="F112" s="24" t="n"/>
      <c r="G112" s="24">
        <f>IF($A112="","",N(G111)+IF($B112="Incasso",$F112,-$F112))</f>
        <v/>
      </c>
    </row>
    <row r="113">
      <c r="A113" s="25" t="n"/>
      <c r="B113" s="11" t="n"/>
      <c r="C113" s="11" t="n"/>
      <c r="D113" s="11" t="n"/>
      <c r="E113" s="11" t="n"/>
      <c r="F113" s="16" t="n"/>
      <c r="G113" s="16">
        <f>IF($A113="","",N(G112)+IF($B113="Incasso",$F113,-$F113))</f>
        <v/>
      </c>
    </row>
    <row r="114">
      <c r="A114" s="22" t="n"/>
      <c r="B114" s="23" t="n"/>
      <c r="C114" s="23" t="n"/>
      <c r="D114" s="23" t="n"/>
      <c r="E114" s="23" t="n"/>
      <c r="F114" s="24" t="n"/>
      <c r="G114" s="24">
        <f>IF($A114="","",N(G113)+IF($B114="Incasso",$F114,-$F114))</f>
        <v/>
      </c>
    </row>
    <row r="115">
      <c r="A115" s="25" t="n"/>
      <c r="B115" s="11" t="n"/>
      <c r="C115" s="11" t="n"/>
      <c r="D115" s="11" t="n"/>
      <c r="E115" s="11" t="n"/>
      <c r="F115" s="16" t="n"/>
      <c r="G115" s="16">
        <f>IF($A115="","",N(G114)+IF($B115="Incasso",$F115,-$F115))</f>
        <v/>
      </c>
    </row>
    <row r="116">
      <c r="A116" s="22" t="n"/>
      <c r="B116" s="23" t="n"/>
      <c r="C116" s="23" t="n"/>
      <c r="D116" s="23" t="n"/>
      <c r="E116" s="23" t="n"/>
      <c r="F116" s="24" t="n"/>
      <c r="G116" s="24">
        <f>IF($A116="","",N(G115)+IF($B116="Incasso",$F116,-$F116))</f>
        <v/>
      </c>
    </row>
    <row r="117">
      <c r="A117" s="25" t="n"/>
      <c r="B117" s="11" t="n"/>
      <c r="C117" s="11" t="n"/>
      <c r="D117" s="11" t="n"/>
      <c r="E117" s="11" t="n"/>
      <c r="F117" s="16" t="n"/>
      <c r="G117" s="16">
        <f>IF($A117="","",N(G116)+IF($B117="Incasso",$F117,-$F117))</f>
        <v/>
      </c>
    </row>
    <row r="118">
      <c r="A118" s="22" t="n"/>
      <c r="B118" s="23" t="n"/>
      <c r="C118" s="23" t="n"/>
      <c r="D118" s="23" t="n"/>
      <c r="E118" s="23" t="n"/>
      <c r="F118" s="24" t="n"/>
      <c r="G118" s="24">
        <f>IF($A118="","",N(G117)+IF($B118="Incasso",$F118,-$F118))</f>
        <v/>
      </c>
    </row>
    <row r="119">
      <c r="A119" s="25" t="n"/>
      <c r="B119" s="11" t="n"/>
      <c r="C119" s="11" t="n"/>
      <c r="D119" s="11" t="n"/>
      <c r="E119" s="11" t="n"/>
      <c r="F119" s="16" t="n"/>
      <c r="G119" s="16">
        <f>IF($A119="","",N(G118)+IF($B119="Incasso",$F119,-$F119))</f>
        <v/>
      </c>
    </row>
    <row r="120">
      <c r="A120" s="22" t="n"/>
      <c r="B120" s="23" t="n"/>
      <c r="C120" s="23" t="n"/>
      <c r="D120" s="23" t="n"/>
      <c r="E120" s="23" t="n"/>
      <c r="F120" s="24" t="n"/>
      <c r="G120" s="24">
        <f>IF($A120="","",N(G119)+IF($B120="Incasso",$F120,-$F120))</f>
        <v/>
      </c>
    </row>
    <row r="121">
      <c r="A121" s="25" t="n"/>
      <c r="B121" s="11" t="n"/>
      <c r="C121" s="11" t="n"/>
      <c r="D121" s="11" t="n"/>
      <c r="E121" s="11" t="n"/>
      <c r="F121" s="16" t="n"/>
      <c r="G121" s="16">
        <f>IF($A121="","",N(G120)+IF($B121="Incasso",$F121,-$F121))</f>
        <v/>
      </c>
    </row>
    <row r="122">
      <c r="A122" s="22" t="n"/>
      <c r="B122" s="23" t="n"/>
      <c r="C122" s="23" t="n"/>
      <c r="D122" s="23" t="n"/>
      <c r="E122" s="23" t="n"/>
      <c r="F122" s="24" t="n"/>
      <c r="G122" s="24">
        <f>IF($A122="","",N(G121)+IF($B122="Incasso",$F122,-$F122))</f>
        <v/>
      </c>
    </row>
    <row r="123">
      <c r="A123" s="25" t="n"/>
      <c r="B123" s="11" t="n"/>
      <c r="C123" s="11" t="n"/>
      <c r="D123" s="11" t="n"/>
      <c r="E123" s="11" t="n"/>
      <c r="F123" s="16" t="n"/>
      <c r="G123" s="16">
        <f>IF($A123="","",N(G122)+IF($B123="Incasso",$F123,-$F123))</f>
        <v/>
      </c>
    </row>
    <row r="124">
      <c r="A124" s="22" t="n"/>
      <c r="B124" s="23" t="n"/>
      <c r="C124" s="23" t="n"/>
      <c r="D124" s="23" t="n"/>
      <c r="E124" s="23" t="n"/>
      <c r="F124" s="24" t="n"/>
      <c r="G124" s="24">
        <f>IF($A124="","",N(G123)+IF($B124="Incasso",$F124,-$F124))</f>
        <v/>
      </c>
    </row>
    <row r="125">
      <c r="A125" s="25" t="n"/>
      <c r="B125" s="11" t="n"/>
      <c r="C125" s="11" t="n"/>
      <c r="D125" s="11" t="n"/>
      <c r="E125" s="11" t="n"/>
      <c r="F125" s="16" t="n"/>
      <c r="G125" s="16">
        <f>IF($A125="","",N(G124)+IF($B125="Incasso",$F125,-$F125))</f>
        <v/>
      </c>
    </row>
    <row r="126">
      <c r="A126" s="22" t="n"/>
      <c r="B126" s="23" t="n"/>
      <c r="C126" s="23" t="n"/>
      <c r="D126" s="23" t="n"/>
      <c r="E126" s="23" t="n"/>
      <c r="F126" s="24" t="n"/>
      <c r="G126" s="24">
        <f>IF($A126="","",N(G125)+IF($B126="Incasso",$F126,-$F126))</f>
        <v/>
      </c>
    </row>
    <row r="127">
      <c r="A127" s="25" t="n"/>
      <c r="B127" s="11" t="n"/>
      <c r="C127" s="11" t="n"/>
      <c r="D127" s="11" t="n"/>
      <c r="E127" s="11" t="n"/>
      <c r="F127" s="16" t="n"/>
      <c r="G127" s="16">
        <f>IF($A127="","",N(G126)+IF($B127="Incasso",$F127,-$F127))</f>
        <v/>
      </c>
    </row>
    <row r="128">
      <c r="A128" s="22" t="n"/>
      <c r="B128" s="23" t="n"/>
      <c r="C128" s="23" t="n"/>
      <c r="D128" s="23" t="n"/>
      <c r="E128" s="23" t="n"/>
      <c r="F128" s="24" t="n"/>
      <c r="G128" s="24">
        <f>IF($A128="","",N(G127)+IF($B128="Incasso",$F128,-$F128))</f>
        <v/>
      </c>
    </row>
    <row r="129">
      <c r="A129" s="25" t="n"/>
      <c r="B129" s="11" t="n"/>
      <c r="C129" s="11" t="n"/>
      <c r="D129" s="11" t="n"/>
      <c r="E129" s="11" t="n"/>
      <c r="F129" s="16" t="n"/>
      <c r="G129" s="16">
        <f>IF($A129="","",N(G128)+IF($B129="Incasso",$F129,-$F129))</f>
        <v/>
      </c>
    </row>
    <row r="130">
      <c r="A130" s="22" t="n"/>
      <c r="B130" s="23" t="n"/>
      <c r="C130" s="23" t="n"/>
      <c r="D130" s="23" t="n"/>
      <c r="E130" s="23" t="n"/>
      <c r="F130" s="24" t="n"/>
      <c r="G130" s="24">
        <f>IF($A130="","",N(G129)+IF($B130="Incasso",$F130,-$F130))</f>
        <v/>
      </c>
    </row>
    <row r="131">
      <c r="A131" s="25" t="n"/>
      <c r="B131" s="11" t="n"/>
      <c r="C131" s="11" t="n"/>
      <c r="D131" s="11" t="n"/>
      <c r="E131" s="11" t="n"/>
      <c r="F131" s="16" t="n"/>
      <c r="G131" s="16">
        <f>IF($A131="","",N(G130)+IF($B131="Incasso",$F131,-$F131))</f>
        <v/>
      </c>
    </row>
    <row r="132">
      <c r="A132" s="22" t="n"/>
      <c r="B132" s="23" t="n"/>
      <c r="C132" s="23" t="n"/>
      <c r="D132" s="23" t="n"/>
      <c r="E132" s="23" t="n"/>
      <c r="F132" s="24" t="n"/>
      <c r="G132" s="24">
        <f>IF($A132="","",N(G131)+IF($B132="Incasso",$F132,-$F132))</f>
        <v/>
      </c>
    </row>
    <row r="133">
      <c r="A133" s="25" t="n"/>
      <c r="B133" s="11" t="n"/>
      <c r="C133" s="11" t="n"/>
      <c r="D133" s="11" t="n"/>
      <c r="E133" s="11" t="n"/>
      <c r="F133" s="16" t="n"/>
      <c r="G133" s="16">
        <f>IF($A133="","",N(G132)+IF($B133="Incasso",$F133,-$F133))</f>
        <v/>
      </c>
    </row>
    <row r="134">
      <c r="A134" s="22" t="n"/>
      <c r="B134" s="23" t="n"/>
      <c r="C134" s="23" t="n"/>
      <c r="D134" s="23" t="n"/>
      <c r="E134" s="23" t="n"/>
      <c r="F134" s="24" t="n"/>
      <c r="G134" s="24">
        <f>IF($A134="","",N(G133)+IF($B134="Incasso",$F134,-$F134))</f>
        <v/>
      </c>
    </row>
    <row r="135">
      <c r="A135" s="25" t="n"/>
      <c r="B135" s="11" t="n"/>
      <c r="C135" s="11" t="n"/>
      <c r="D135" s="11" t="n"/>
      <c r="E135" s="11" t="n"/>
      <c r="F135" s="16" t="n"/>
      <c r="G135" s="16">
        <f>IF($A135="","",N(G134)+IF($B135="Incasso",$F135,-$F135))</f>
        <v/>
      </c>
    </row>
    <row r="136">
      <c r="A136" s="22" t="n"/>
      <c r="B136" s="23" t="n"/>
      <c r="C136" s="23" t="n"/>
      <c r="D136" s="23" t="n"/>
      <c r="E136" s="23" t="n"/>
      <c r="F136" s="24" t="n"/>
      <c r="G136" s="24">
        <f>IF($A136="","",N(G135)+IF($B136="Incasso",$F136,-$F136))</f>
        <v/>
      </c>
    </row>
    <row r="137">
      <c r="A137" s="25" t="n"/>
      <c r="B137" s="11" t="n"/>
      <c r="C137" s="11" t="n"/>
      <c r="D137" s="11" t="n"/>
      <c r="E137" s="11" t="n"/>
      <c r="F137" s="16" t="n"/>
      <c r="G137" s="16">
        <f>IF($A137="","",N(G136)+IF($B137="Incasso",$F137,-$F137))</f>
        <v/>
      </c>
    </row>
    <row r="138">
      <c r="A138" s="22" t="n"/>
      <c r="B138" s="23" t="n"/>
      <c r="C138" s="23" t="n"/>
      <c r="D138" s="23" t="n"/>
      <c r="E138" s="23" t="n"/>
      <c r="F138" s="24" t="n"/>
      <c r="G138" s="24">
        <f>IF($A138="","",N(G137)+IF($B138="Incasso",$F138,-$F138))</f>
        <v/>
      </c>
    </row>
    <row r="139">
      <c r="A139" s="25" t="n"/>
      <c r="B139" s="11" t="n"/>
      <c r="C139" s="11" t="n"/>
      <c r="D139" s="11" t="n"/>
      <c r="E139" s="11" t="n"/>
      <c r="F139" s="16" t="n"/>
      <c r="G139" s="16">
        <f>IF($A139="","",N(G138)+IF($B139="Incasso",$F139,-$F139))</f>
        <v/>
      </c>
    </row>
    <row r="140">
      <c r="A140" s="22" t="n"/>
      <c r="B140" s="23" t="n"/>
      <c r="C140" s="23" t="n"/>
      <c r="D140" s="23" t="n"/>
      <c r="E140" s="23" t="n"/>
      <c r="F140" s="24" t="n"/>
      <c r="G140" s="24">
        <f>IF($A140="","",N(G139)+IF($B140="Incasso",$F140,-$F140))</f>
        <v/>
      </c>
    </row>
    <row r="141">
      <c r="A141" s="25" t="n"/>
      <c r="B141" s="11" t="n"/>
      <c r="C141" s="11" t="n"/>
      <c r="D141" s="11" t="n"/>
      <c r="E141" s="11" t="n"/>
      <c r="F141" s="16" t="n"/>
      <c r="G141" s="16">
        <f>IF($A141="","",N(G140)+IF($B141="Incasso",$F141,-$F141))</f>
        <v/>
      </c>
    </row>
    <row r="142">
      <c r="A142" s="22" t="n"/>
      <c r="B142" s="23" t="n"/>
      <c r="C142" s="23" t="n"/>
      <c r="D142" s="23" t="n"/>
      <c r="E142" s="23" t="n"/>
      <c r="F142" s="24" t="n"/>
      <c r="G142" s="24">
        <f>IF($A142="","",N(G141)+IF($B142="Incasso",$F142,-$F142))</f>
        <v/>
      </c>
    </row>
    <row r="143">
      <c r="A143" s="25" t="n"/>
      <c r="B143" s="11" t="n"/>
      <c r="C143" s="11" t="n"/>
      <c r="D143" s="11" t="n"/>
      <c r="E143" s="11" t="n"/>
      <c r="F143" s="16" t="n"/>
      <c r="G143" s="16">
        <f>IF($A143="","",N(G142)+IF($B143="Incasso",$F143,-$F143))</f>
        <v/>
      </c>
    </row>
    <row r="144">
      <c r="A144" s="22" t="n"/>
      <c r="B144" s="23" t="n"/>
      <c r="C144" s="23" t="n"/>
      <c r="D144" s="23" t="n"/>
      <c r="E144" s="23" t="n"/>
      <c r="F144" s="24" t="n"/>
      <c r="G144" s="24">
        <f>IF($A144="","",N(G143)+IF($B144="Incasso",$F144,-$F144))</f>
        <v/>
      </c>
    </row>
    <row r="145">
      <c r="A145" s="25" t="n"/>
      <c r="B145" s="11" t="n"/>
      <c r="C145" s="11" t="n"/>
      <c r="D145" s="11" t="n"/>
      <c r="E145" s="11" t="n"/>
      <c r="F145" s="16" t="n"/>
      <c r="G145" s="16">
        <f>IF($A145="","",N(G144)+IF($B145="Incasso",$F145,-$F145))</f>
        <v/>
      </c>
    </row>
    <row r="146">
      <c r="A146" s="22" t="n"/>
      <c r="B146" s="23" t="n"/>
      <c r="C146" s="23" t="n"/>
      <c r="D146" s="23" t="n"/>
      <c r="E146" s="23" t="n"/>
      <c r="F146" s="24" t="n"/>
      <c r="G146" s="24">
        <f>IF($A146="","",N(G145)+IF($B146="Incasso",$F146,-$F146))</f>
        <v/>
      </c>
    </row>
    <row r="147">
      <c r="A147" s="25" t="n"/>
      <c r="B147" s="11" t="n"/>
      <c r="C147" s="11" t="n"/>
      <c r="D147" s="11" t="n"/>
      <c r="E147" s="11" t="n"/>
      <c r="F147" s="16" t="n"/>
      <c r="G147" s="16">
        <f>IF($A147="","",N(G146)+IF($B147="Incasso",$F147,-$F147))</f>
        <v/>
      </c>
    </row>
    <row r="148">
      <c r="A148" s="22" t="n"/>
      <c r="B148" s="23" t="n"/>
      <c r="C148" s="23" t="n"/>
      <c r="D148" s="23" t="n"/>
      <c r="E148" s="23" t="n"/>
      <c r="F148" s="24" t="n"/>
      <c r="G148" s="24">
        <f>IF($A148="","",N(G147)+IF($B148="Incasso",$F148,-$F148))</f>
        <v/>
      </c>
    </row>
    <row r="149">
      <c r="A149" s="25" t="n"/>
      <c r="B149" s="11" t="n"/>
      <c r="C149" s="11" t="n"/>
      <c r="D149" s="11" t="n"/>
      <c r="E149" s="11" t="n"/>
      <c r="F149" s="16" t="n"/>
      <c r="G149" s="16">
        <f>IF($A149="","",N(G148)+IF($B149="Incasso",$F149,-$F149))</f>
        <v/>
      </c>
    </row>
    <row r="150">
      <c r="A150" s="22" t="n"/>
      <c r="B150" s="23" t="n"/>
      <c r="C150" s="23" t="n"/>
      <c r="D150" s="23" t="n"/>
      <c r="E150" s="23" t="n"/>
      <c r="F150" s="24" t="n"/>
      <c r="G150" s="24">
        <f>IF($A150="","",N(G149)+IF($B150="Incasso",$F150,-$F150))</f>
        <v/>
      </c>
    </row>
    <row r="151">
      <c r="A151" s="25" t="n"/>
      <c r="B151" s="11" t="n"/>
      <c r="C151" s="11" t="n"/>
      <c r="D151" s="11" t="n"/>
      <c r="E151" s="11" t="n"/>
      <c r="F151" s="16" t="n"/>
      <c r="G151" s="16">
        <f>IF($A151="","",N(G150)+IF($B151="Incasso",$F151,-$F151))</f>
        <v/>
      </c>
    </row>
    <row r="152">
      <c r="A152" s="22" t="n"/>
      <c r="B152" s="23" t="n"/>
      <c r="C152" s="23" t="n"/>
      <c r="D152" s="23" t="n"/>
      <c r="E152" s="23" t="n"/>
      <c r="F152" s="24" t="n"/>
      <c r="G152" s="24">
        <f>IF($A152="","",N(G151)+IF($B152="Incasso",$F152,-$F152))</f>
        <v/>
      </c>
    </row>
    <row r="153">
      <c r="A153" s="25" t="n"/>
      <c r="B153" s="11" t="n"/>
      <c r="C153" s="11" t="n"/>
      <c r="D153" s="11" t="n"/>
      <c r="E153" s="11" t="n"/>
      <c r="F153" s="16" t="n"/>
      <c r="G153" s="16">
        <f>IF($A153="","",N(G152)+IF($B153="Incasso",$F153,-$F153))</f>
        <v/>
      </c>
    </row>
    <row r="154">
      <c r="A154" s="22" t="n"/>
      <c r="B154" s="23" t="n"/>
      <c r="C154" s="23" t="n"/>
      <c r="D154" s="23" t="n"/>
      <c r="E154" s="23" t="n"/>
      <c r="F154" s="24" t="n"/>
      <c r="G154" s="24">
        <f>IF($A154="","",N(G153)+IF($B154="Incasso",$F154,-$F154))</f>
        <v/>
      </c>
    </row>
    <row r="155">
      <c r="A155" s="25" t="n"/>
      <c r="B155" s="11" t="n"/>
      <c r="C155" s="11" t="n"/>
      <c r="D155" s="11" t="n"/>
      <c r="E155" s="11" t="n"/>
      <c r="F155" s="16" t="n"/>
      <c r="G155" s="16">
        <f>IF($A155="","",N(G154)+IF($B155="Incasso",$F155,-$F155))</f>
        <v/>
      </c>
    </row>
    <row r="156">
      <c r="A156" s="22" t="n"/>
      <c r="B156" s="23" t="n"/>
      <c r="C156" s="23" t="n"/>
      <c r="D156" s="23" t="n"/>
      <c r="E156" s="23" t="n"/>
      <c r="F156" s="24" t="n"/>
      <c r="G156" s="24">
        <f>IF($A156="","",N(G155)+IF($B156="Incasso",$F156,-$F156))</f>
        <v/>
      </c>
    </row>
    <row r="157">
      <c r="A157" s="25" t="n"/>
      <c r="B157" s="11" t="n"/>
      <c r="C157" s="11" t="n"/>
      <c r="D157" s="11" t="n"/>
      <c r="E157" s="11" t="n"/>
      <c r="F157" s="16" t="n"/>
      <c r="G157" s="16">
        <f>IF($A157="","",N(G156)+IF($B157="Incasso",$F157,-$F157))</f>
        <v/>
      </c>
    </row>
    <row r="158">
      <c r="A158" s="22" t="n"/>
      <c r="B158" s="23" t="n"/>
      <c r="C158" s="23" t="n"/>
      <c r="D158" s="23" t="n"/>
      <c r="E158" s="23" t="n"/>
      <c r="F158" s="24" t="n"/>
      <c r="G158" s="24">
        <f>IF($A158="","",N(G157)+IF($B158="Incasso",$F158,-$F158))</f>
        <v/>
      </c>
    </row>
    <row r="159">
      <c r="A159" s="25" t="n"/>
      <c r="B159" s="11" t="n"/>
      <c r="C159" s="11" t="n"/>
      <c r="D159" s="11" t="n"/>
      <c r="E159" s="11" t="n"/>
      <c r="F159" s="16" t="n"/>
      <c r="G159" s="16">
        <f>IF($A159="","",N(G158)+IF($B159="Incasso",$F159,-$F159))</f>
        <v/>
      </c>
    </row>
    <row r="160">
      <c r="A160" s="22" t="n"/>
      <c r="B160" s="23" t="n"/>
      <c r="C160" s="23" t="n"/>
      <c r="D160" s="23" t="n"/>
      <c r="E160" s="23" t="n"/>
      <c r="F160" s="24" t="n"/>
      <c r="G160" s="24">
        <f>IF($A160="","",N(G159)+IF($B160="Incasso",$F160,-$F160))</f>
        <v/>
      </c>
    </row>
    <row r="161">
      <c r="A161" s="25" t="n"/>
      <c r="B161" s="11" t="n"/>
      <c r="C161" s="11" t="n"/>
      <c r="D161" s="11" t="n"/>
      <c r="E161" s="11" t="n"/>
      <c r="F161" s="16" t="n"/>
      <c r="G161" s="16">
        <f>IF($A161="","",N(G160)+IF($B161="Incasso",$F161,-$F161))</f>
        <v/>
      </c>
    </row>
    <row r="162">
      <c r="A162" s="22" t="n"/>
      <c r="B162" s="23" t="n"/>
      <c r="C162" s="23" t="n"/>
      <c r="D162" s="23" t="n"/>
      <c r="E162" s="23" t="n"/>
      <c r="F162" s="24" t="n"/>
      <c r="G162" s="24">
        <f>IF($A162="","",N(G161)+IF($B162="Incasso",$F162,-$F162))</f>
        <v/>
      </c>
    </row>
    <row r="163">
      <c r="A163" s="25" t="n"/>
      <c r="B163" s="11" t="n"/>
      <c r="C163" s="11" t="n"/>
      <c r="D163" s="11" t="n"/>
      <c r="E163" s="11" t="n"/>
      <c r="F163" s="16" t="n"/>
      <c r="G163" s="16">
        <f>IF($A163="","",N(G162)+IF($B163="Incasso",$F163,-$F163))</f>
        <v/>
      </c>
    </row>
    <row r="164">
      <c r="A164" s="22" t="n"/>
      <c r="B164" s="23" t="n"/>
      <c r="C164" s="23" t="n"/>
      <c r="D164" s="23" t="n"/>
      <c r="E164" s="23" t="n"/>
      <c r="F164" s="24" t="n"/>
      <c r="G164" s="24">
        <f>IF($A164="","",N(G163)+IF($B164="Incasso",$F164,-$F164))</f>
        <v/>
      </c>
    </row>
    <row r="165">
      <c r="A165" s="25" t="n"/>
      <c r="B165" s="11" t="n"/>
      <c r="C165" s="11" t="n"/>
      <c r="D165" s="11" t="n"/>
      <c r="E165" s="11" t="n"/>
      <c r="F165" s="16" t="n"/>
      <c r="G165" s="16">
        <f>IF($A165="","",N(G164)+IF($B165="Incasso",$F165,-$F165))</f>
        <v/>
      </c>
    </row>
    <row r="166">
      <c r="A166" s="22" t="n"/>
      <c r="B166" s="23" t="n"/>
      <c r="C166" s="23" t="n"/>
      <c r="D166" s="23" t="n"/>
      <c r="E166" s="23" t="n"/>
      <c r="F166" s="24" t="n"/>
      <c r="G166" s="24">
        <f>IF($A166="","",N(G165)+IF($B166="Incasso",$F166,-$F166))</f>
        <v/>
      </c>
    </row>
    <row r="167">
      <c r="A167" s="25" t="n"/>
      <c r="B167" s="11" t="n"/>
      <c r="C167" s="11" t="n"/>
      <c r="D167" s="11" t="n"/>
      <c r="E167" s="11" t="n"/>
      <c r="F167" s="16" t="n"/>
      <c r="G167" s="16">
        <f>IF($A167="","",N(G166)+IF($B167="Incasso",$F167,-$F167))</f>
        <v/>
      </c>
    </row>
    <row r="168">
      <c r="A168" s="22" t="n"/>
      <c r="B168" s="23" t="n"/>
      <c r="C168" s="23" t="n"/>
      <c r="D168" s="23" t="n"/>
      <c r="E168" s="23" t="n"/>
      <c r="F168" s="24" t="n"/>
      <c r="G168" s="24">
        <f>IF($A168="","",N(G167)+IF($B168="Incasso",$F168,-$F168))</f>
        <v/>
      </c>
    </row>
    <row r="169">
      <c r="A169" s="25" t="n"/>
      <c r="B169" s="11" t="n"/>
      <c r="C169" s="11" t="n"/>
      <c r="D169" s="11" t="n"/>
      <c r="E169" s="11" t="n"/>
      <c r="F169" s="16" t="n"/>
      <c r="G169" s="16">
        <f>IF($A169="","",N(G168)+IF($B169="Incasso",$F169,-$F169))</f>
        <v/>
      </c>
    </row>
    <row r="170">
      <c r="A170" s="22" t="n"/>
      <c r="B170" s="23" t="n"/>
      <c r="C170" s="23" t="n"/>
      <c r="D170" s="23" t="n"/>
      <c r="E170" s="23" t="n"/>
      <c r="F170" s="24" t="n"/>
      <c r="G170" s="24">
        <f>IF($A170="","",N(G169)+IF($B170="Incasso",$F170,-$F170))</f>
        <v/>
      </c>
    </row>
    <row r="171">
      <c r="A171" s="25" t="n"/>
      <c r="B171" s="11" t="n"/>
      <c r="C171" s="11" t="n"/>
      <c r="D171" s="11" t="n"/>
      <c r="E171" s="11" t="n"/>
      <c r="F171" s="16" t="n"/>
      <c r="G171" s="16">
        <f>IF($A171="","",N(G170)+IF($B171="Incasso",$F171,-$F171))</f>
        <v/>
      </c>
    </row>
    <row r="172">
      <c r="A172" s="22" t="n"/>
      <c r="B172" s="23" t="n"/>
      <c r="C172" s="23" t="n"/>
      <c r="D172" s="23" t="n"/>
      <c r="E172" s="23" t="n"/>
      <c r="F172" s="24" t="n"/>
      <c r="G172" s="24">
        <f>IF($A172="","",N(G171)+IF($B172="Incasso",$F172,-$F172))</f>
        <v/>
      </c>
    </row>
    <row r="173">
      <c r="A173" s="25" t="n"/>
      <c r="B173" s="11" t="n"/>
      <c r="C173" s="11" t="n"/>
      <c r="D173" s="11" t="n"/>
      <c r="E173" s="11" t="n"/>
      <c r="F173" s="16" t="n"/>
      <c r="G173" s="16">
        <f>IF($A173="","",N(G172)+IF($B173="Incasso",$F173,-$F173))</f>
        <v/>
      </c>
    </row>
    <row r="174">
      <c r="A174" s="22" t="n"/>
      <c r="B174" s="23" t="n"/>
      <c r="C174" s="23" t="n"/>
      <c r="D174" s="23" t="n"/>
      <c r="E174" s="23" t="n"/>
      <c r="F174" s="24" t="n"/>
      <c r="G174" s="24">
        <f>IF($A174="","",N(G173)+IF($B174="Incasso",$F174,-$F174))</f>
        <v/>
      </c>
    </row>
    <row r="175">
      <c r="A175" s="25" t="n"/>
      <c r="B175" s="11" t="n"/>
      <c r="C175" s="11" t="n"/>
      <c r="D175" s="11" t="n"/>
      <c r="E175" s="11" t="n"/>
      <c r="F175" s="16" t="n"/>
      <c r="G175" s="16">
        <f>IF($A175="","",N(G174)+IF($B175="Incasso",$F175,-$F175))</f>
        <v/>
      </c>
    </row>
    <row r="176">
      <c r="A176" s="22" t="n"/>
      <c r="B176" s="23" t="n"/>
      <c r="C176" s="23" t="n"/>
      <c r="D176" s="23" t="n"/>
      <c r="E176" s="23" t="n"/>
      <c r="F176" s="24" t="n"/>
      <c r="G176" s="24">
        <f>IF($A176="","",N(G175)+IF($B176="Incasso",$F176,-$F176))</f>
        <v/>
      </c>
    </row>
    <row r="177">
      <c r="A177" s="25" t="n"/>
      <c r="B177" s="11" t="n"/>
      <c r="C177" s="11" t="n"/>
      <c r="D177" s="11" t="n"/>
      <c r="E177" s="11" t="n"/>
      <c r="F177" s="16" t="n"/>
      <c r="G177" s="16">
        <f>IF($A177="","",N(G176)+IF($B177="Incasso",$F177,-$F177))</f>
        <v/>
      </c>
    </row>
    <row r="178">
      <c r="A178" s="22" t="n"/>
      <c r="B178" s="23" t="n"/>
      <c r="C178" s="23" t="n"/>
      <c r="D178" s="23" t="n"/>
      <c r="E178" s="23" t="n"/>
      <c r="F178" s="24" t="n"/>
      <c r="G178" s="24">
        <f>IF($A178="","",N(G177)+IF($B178="Incasso",$F178,-$F178))</f>
        <v/>
      </c>
    </row>
    <row r="179">
      <c r="A179" s="25" t="n"/>
      <c r="B179" s="11" t="n"/>
      <c r="C179" s="11" t="n"/>
      <c r="D179" s="11" t="n"/>
      <c r="E179" s="11" t="n"/>
      <c r="F179" s="16" t="n"/>
      <c r="G179" s="16">
        <f>IF($A179="","",N(G178)+IF($B179="Incasso",$F179,-$F179))</f>
        <v/>
      </c>
    </row>
    <row r="180">
      <c r="A180" s="22" t="n"/>
      <c r="B180" s="23" t="n"/>
      <c r="C180" s="23" t="n"/>
      <c r="D180" s="23" t="n"/>
      <c r="E180" s="23" t="n"/>
      <c r="F180" s="24" t="n"/>
      <c r="G180" s="24">
        <f>IF($A180="","",N(G179)+IF($B180="Incasso",$F180,-$F180))</f>
        <v/>
      </c>
    </row>
    <row r="181">
      <c r="A181" s="25" t="n"/>
      <c r="B181" s="11" t="n"/>
      <c r="C181" s="11" t="n"/>
      <c r="D181" s="11" t="n"/>
      <c r="E181" s="11" t="n"/>
      <c r="F181" s="16" t="n"/>
      <c r="G181" s="16">
        <f>IF($A181="","",N(G180)+IF($B181="Incasso",$F181,-$F181))</f>
        <v/>
      </c>
    </row>
    <row r="182">
      <c r="A182" s="22" t="n"/>
      <c r="B182" s="23" t="n"/>
      <c r="C182" s="23" t="n"/>
      <c r="D182" s="23" t="n"/>
      <c r="E182" s="23" t="n"/>
      <c r="F182" s="24" t="n"/>
      <c r="G182" s="24">
        <f>IF($A182="","",N(G181)+IF($B182="Incasso",$F182,-$F182))</f>
        <v/>
      </c>
    </row>
    <row r="183">
      <c r="A183" s="25" t="n"/>
      <c r="B183" s="11" t="n"/>
      <c r="C183" s="11" t="n"/>
      <c r="D183" s="11" t="n"/>
      <c r="E183" s="11" t="n"/>
      <c r="F183" s="16" t="n"/>
      <c r="G183" s="16">
        <f>IF($A183="","",N(G182)+IF($B183="Incasso",$F183,-$F183))</f>
        <v/>
      </c>
    </row>
    <row r="184">
      <c r="A184" s="22" t="n"/>
      <c r="B184" s="23" t="n"/>
      <c r="C184" s="23" t="n"/>
      <c r="D184" s="23" t="n"/>
      <c r="E184" s="23" t="n"/>
      <c r="F184" s="24" t="n"/>
      <c r="G184" s="24">
        <f>IF($A184="","",N(G183)+IF($B184="Incasso",$F184,-$F184))</f>
        <v/>
      </c>
    </row>
    <row r="185">
      <c r="A185" s="25" t="n"/>
      <c r="B185" s="11" t="n"/>
      <c r="C185" s="11" t="n"/>
      <c r="D185" s="11" t="n"/>
      <c r="E185" s="11" t="n"/>
      <c r="F185" s="16" t="n"/>
      <c r="G185" s="16">
        <f>IF($A185="","",N(G184)+IF($B185="Incasso",$F185,-$F185))</f>
        <v/>
      </c>
    </row>
    <row r="186">
      <c r="A186" s="22" t="n"/>
      <c r="B186" s="23" t="n"/>
      <c r="C186" s="23" t="n"/>
      <c r="D186" s="23" t="n"/>
      <c r="E186" s="23" t="n"/>
      <c r="F186" s="24" t="n"/>
      <c r="G186" s="24">
        <f>IF($A186="","",N(G185)+IF($B186="Incasso",$F186,-$F186))</f>
        <v/>
      </c>
    </row>
    <row r="187">
      <c r="A187" s="25" t="n"/>
      <c r="B187" s="11" t="n"/>
      <c r="C187" s="11" t="n"/>
      <c r="D187" s="11" t="n"/>
      <c r="E187" s="11" t="n"/>
      <c r="F187" s="16" t="n"/>
      <c r="G187" s="16">
        <f>IF($A187="","",N(G186)+IF($B187="Incasso",$F187,-$F187))</f>
        <v/>
      </c>
    </row>
    <row r="188">
      <c r="A188" s="22" t="n"/>
      <c r="B188" s="23" t="n"/>
      <c r="C188" s="23" t="n"/>
      <c r="D188" s="23" t="n"/>
      <c r="E188" s="23" t="n"/>
      <c r="F188" s="24" t="n"/>
      <c r="G188" s="24">
        <f>IF($A188="","",N(G187)+IF($B188="Incasso",$F188,-$F188))</f>
        <v/>
      </c>
    </row>
    <row r="189">
      <c r="A189" s="25" t="n"/>
      <c r="B189" s="11" t="n"/>
      <c r="C189" s="11" t="n"/>
      <c r="D189" s="11" t="n"/>
      <c r="E189" s="11" t="n"/>
      <c r="F189" s="16" t="n"/>
      <c r="G189" s="16">
        <f>IF($A189="","",N(G188)+IF($B189="Incasso",$F189,-$F189))</f>
        <v/>
      </c>
    </row>
    <row r="190">
      <c r="A190" s="22" t="n"/>
      <c r="B190" s="23" t="n"/>
      <c r="C190" s="23" t="n"/>
      <c r="D190" s="23" t="n"/>
      <c r="E190" s="23" t="n"/>
      <c r="F190" s="24" t="n"/>
      <c r="G190" s="24">
        <f>IF($A190="","",N(G189)+IF($B190="Incasso",$F190,-$F190))</f>
        <v/>
      </c>
    </row>
    <row r="191">
      <c r="A191" s="25" t="n"/>
      <c r="B191" s="11" t="n"/>
      <c r="C191" s="11" t="n"/>
      <c r="D191" s="11" t="n"/>
      <c r="E191" s="11" t="n"/>
      <c r="F191" s="16" t="n"/>
      <c r="G191" s="16">
        <f>IF($A191="","",N(G190)+IF($B191="Incasso",$F191,-$F191))</f>
        <v/>
      </c>
    </row>
    <row r="192">
      <c r="A192" s="22" t="n"/>
      <c r="B192" s="23" t="n"/>
      <c r="C192" s="23" t="n"/>
      <c r="D192" s="23" t="n"/>
      <c r="E192" s="23" t="n"/>
      <c r="F192" s="24" t="n"/>
      <c r="G192" s="24">
        <f>IF($A192="","",N(G191)+IF($B192="Incasso",$F192,-$F192))</f>
        <v/>
      </c>
    </row>
    <row r="193">
      <c r="A193" s="25" t="n"/>
      <c r="B193" s="11" t="n"/>
      <c r="C193" s="11" t="n"/>
      <c r="D193" s="11" t="n"/>
      <c r="E193" s="11" t="n"/>
      <c r="F193" s="16" t="n"/>
      <c r="G193" s="16">
        <f>IF($A193="","",N(G192)+IF($B193="Incasso",$F193,-$F193))</f>
        <v/>
      </c>
    </row>
    <row r="194">
      <c r="A194" s="22" t="n"/>
      <c r="B194" s="23" t="n"/>
      <c r="C194" s="23" t="n"/>
      <c r="D194" s="23" t="n"/>
      <c r="E194" s="23" t="n"/>
      <c r="F194" s="24" t="n"/>
      <c r="G194" s="24">
        <f>IF($A194="","",N(G193)+IF($B194="Incasso",$F194,-$F194))</f>
        <v/>
      </c>
    </row>
    <row r="195">
      <c r="A195" s="25" t="n"/>
      <c r="B195" s="11" t="n"/>
      <c r="C195" s="11" t="n"/>
      <c r="D195" s="11" t="n"/>
      <c r="E195" s="11" t="n"/>
      <c r="F195" s="16" t="n"/>
      <c r="G195" s="16">
        <f>IF($A195="","",N(G194)+IF($B195="Incasso",$F195,-$F195))</f>
        <v/>
      </c>
    </row>
    <row r="196">
      <c r="A196" s="22" t="n"/>
      <c r="B196" s="23" t="n"/>
      <c r="C196" s="23" t="n"/>
      <c r="D196" s="23" t="n"/>
      <c r="E196" s="23" t="n"/>
      <c r="F196" s="24" t="n"/>
      <c r="G196" s="24">
        <f>IF($A196="","",N(G195)+IF($B196="Incasso",$F196,-$F196))</f>
        <v/>
      </c>
    </row>
    <row r="197">
      <c r="A197" s="25" t="n"/>
      <c r="B197" s="11" t="n"/>
      <c r="C197" s="11" t="n"/>
      <c r="D197" s="11" t="n"/>
      <c r="E197" s="11" t="n"/>
      <c r="F197" s="16" t="n"/>
      <c r="G197" s="16">
        <f>IF($A197="","",N(G196)+IF($B197="Incasso",$F197,-$F197))</f>
        <v/>
      </c>
    </row>
    <row r="198">
      <c r="A198" s="22" t="n"/>
      <c r="B198" s="23" t="n"/>
      <c r="C198" s="23" t="n"/>
      <c r="D198" s="23" t="n"/>
      <c r="E198" s="23" t="n"/>
      <c r="F198" s="24" t="n"/>
      <c r="G198" s="24">
        <f>IF($A198="","",N(G197)+IF($B198="Incasso",$F198,-$F198))</f>
        <v/>
      </c>
    </row>
    <row r="199">
      <c r="A199" s="25" t="n"/>
      <c r="B199" s="11" t="n"/>
      <c r="C199" s="11" t="n"/>
      <c r="D199" s="11" t="n"/>
      <c r="E199" s="11" t="n"/>
      <c r="F199" s="16" t="n"/>
      <c r="G199" s="16">
        <f>IF($A199="","",N(G198)+IF($B199="Incasso",$F199,-$F199))</f>
        <v/>
      </c>
    </row>
    <row r="200">
      <c r="A200" s="22" t="n"/>
      <c r="B200" s="23" t="n"/>
      <c r="C200" s="23" t="n"/>
      <c r="D200" s="23" t="n"/>
      <c r="E200" s="23" t="n"/>
      <c r="F200" s="24" t="n"/>
      <c r="G200" s="24">
        <f>IF($A200="","",N(G199)+IF($B200="Incasso",$F200,-$F200))</f>
        <v/>
      </c>
    </row>
    <row r="201">
      <c r="A201" s="25" t="n"/>
      <c r="B201" s="11" t="n"/>
      <c r="C201" s="11" t="n"/>
      <c r="D201" s="11" t="n"/>
      <c r="E201" s="11" t="n"/>
      <c r="F201" s="16" t="n"/>
      <c r="G201" s="16">
        <f>IF($A201="","",N(G200)+IF($B201="Incasso",$F201,-$F201))</f>
        <v/>
      </c>
    </row>
    <row r="202">
      <c r="A202" s="22" t="n"/>
      <c r="B202" s="23" t="n"/>
      <c r="C202" s="23" t="n"/>
      <c r="D202" s="23" t="n"/>
      <c r="E202" s="23" t="n"/>
      <c r="F202" s="24" t="n"/>
      <c r="G202" s="24">
        <f>IF($A202="","",N(G201)+IF($B202="Incasso",$F202,-$F202))</f>
        <v/>
      </c>
    </row>
    <row r="203">
      <c r="A203" s="25" t="n"/>
      <c r="B203" s="11" t="n"/>
      <c r="C203" s="11" t="n"/>
      <c r="D203" s="11" t="n"/>
      <c r="E203" s="11" t="n"/>
      <c r="F203" s="16" t="n"/>
      <c r="G203" s="16">
        <f>IF($A203="","",N(G202)+IF($B203="Incasso",$F203,-$F203))</f>
        <v/>
      </c>
    </row>
    <row r="204">
      <c r="A204" s="22" t="n"/>
      <c r="B204" s="23" t="n"/>
      <c r="C204" s="23" t="n"/>
      <c r="D204" s="23" t="n"/>
      <c r="E204" s="23" t="n"/>
      <c r="F204" s="24" t="n"/>
      <c r="G204" s="24">
        <f>IF($A204="","",N(G203)+IF($B204="Incasso",$F204,-$F204))</f>
        <v/>
      </c>
    </row>
    <row r="205">
      <c r="A205" s="25" t="n"/>
      <c r="B205" s="11" t="n"/>
      <c r="C205" s="11" t="n"/>
      <c r="D205" s="11" t="n"/>
      <c r="E205" s="11" t="n"/>
      <c r="F205" s="16" t="n"/>
      <c r="G205" s="16">
        <f>IF($A205="","",N(G204)+IF($B205="Incasso",$F205,-$F205))</f>
        <v/>
      </c>
    </row>
    <row r="206">
      <c r="A206" s="22" t="n"/>
      <c r="B206" s="23" t="n"/>
      <c r="C206" s="23" t="n"/>
      <c r="D206" s="23" t="n"/>
      <c r="E206" s="23" t="n"/>
      <c r="F206" s="24" t="n"/>
      <c r="G206" s="24">
        <f>IF($A206="","",N(G205)+IF($B206="Incasso",$F206,-$F206))</f>
        <v/>
      </c>
    </row>
    <row r="207">
      <c r="A207" s="25" t="n"/>
      <c r="B207" s="11" t="n"/>
      <c r="C207" s="11" t="n"/>
      <c r="D207" s="11" t="n"/>
      <c r="E207" s="11" t="n"/>
      <c r="F207" s="16" t="n"/>
      <c r="G207" s="16">
        <f>IF($A207="","",N(G206)+IF($B207="Incasso",$F207,-$F207))</f>
        <v/>
      </c>
    </row>
    <row r="208">
      <c r="A208" s="22" t="n"/>
      <c r="B208" s="23" t="n"/>
      <c r="C208" s="23" t="n"/>
      <c r="D208" s="23" t="n"/>
      <c r="E208" s="23" t="n"/>
      <c r="F208" s="24" t="n"/>
      <c r="G208" s="24">
        <f>IF($A208="","",N(G207)+IF($B208="Incasso",$F208,-$F208))</f>
        <v/>
      </c>
    </row>
    <row r="209">
      <c r="A209" s="25" t="n"/>
      <c r="B209" s="11" t="n"/>
      <c r="C209" s="11" t="n"/>
      <c r="D209" s="11" t="n"/>
      <c r="E209" s="11" t="n"/>
      <c r="F209" s="16" t="n"/>
      <c r="G209" s="16">
        <f>IF($A209="","",N(G208)+IF($B209="Incasso",$F209,-$F209))</f>
        <v/>
      </c>
    </row>
    <row r="210">
      <c r="A210" s="22" t="n"/>
      <c r="B210" s="23" t="n"/>
      <c r="C210" s="23" t="n"/>
      <c r="D210" s="23" t="n"/>
      <c r="E210" s="23" t="n"/>
      <c r="F210" s="24" t="n"/>
      <c r="G210" s="24">
        <f>IF($A210="","",N(G209)+IF($B210="Incasso",$F210,-$F210))</f>
        <v/>
      </c>
    </row>
    <row r="211">
      <c r="A211" s="25" t="n"/>
      <c r="B211" s="11" t="n"/>
      <c r="C211" s="11" t="n"/>
      <c r="D211" s="11" t="n"/>
      <c r="E211" s="11" t="n"/>
      <c r="F211" s="16" t="n"/>
      <c r="G211" s="16">
        <f>IF($A211="","",N(G210)+IF($B211="Incasso",$F211,-$F211))</f>
        <v/>
      </c>
    </row>
    <row r="212">
      <c r="A212" s="22" t="n"/>
      <c r="B212" s="23" t="n"/>
      <c r="C212" s="23" t="n"/>
      <c r="D212" s="23" t="n"/>
      <c r="E212" s="23" t="n"/>
      <c r="F212" s="24" t="n"/>
      <c r="G212" s="24">
        <f>IF($A212="","",N(G211)+IF($B212="Incasso",$F212,-$F212))</f>
        <v/>
      </c>
    </row>
    <row r="213">
      <c r="A213" s="25" t="n"/>
      <c r="B213" s="11" t="n"/>
      <c r="C213" s="11" t="n"/>
      <c r="D213" s="11" t="n"/>
      <c r="E213" s="11" t="n"/>
      <c r="F213" s="16" t="n"/>
      <c r="G213" s="16">
        <f>IF($A213="","",N(G212)+IF($B213="Incasso",$F213,-$F213))</f>
        <v/>
      </c>
    </row>
    <row r="214">
      <c r="A214" s="22" t="n"/>
      <c r="B214" s="23" t="n"/>
      <c r="C214" s="23" t="n"/>
      <c r="D214" s="23" t="n"/>
      <c r="E214" s="23" t="n"/>
      <c r="F214" s="24" t="n"/>
      <c r="G214" s="24">
        <f>IF($A214="","",N(G213)+IF($B214="Incasso",$F214,-$F214))</f>
        <v/>
      </c>
    </row>
    <row r="215">
      <c r="A215" s="25" t="n"/>
      <c r="B215" s="11" t="n"/>
      <c r="C215" s="11" t="n"/>
      <c r="D215" s="11" t="n"/>
      <c r="E215" s="11" t="n"/>
      <c r="F215" s="16" t="n"/>
      <c r="G215" s="16">
        <f>IF($A215="","",N(G214)+IF($B215="Incasso",$F215,-$F215))</f>
        <v/>
      </c>
    </row>
    <row r="216">
      <c r="A216" s="22" t="n"/>
      <c r="B216" s="23" t="n"/>
      <c r="C216" s="23" t="n"/>
      <c r="D216" s="23" t="n"/>
      <c r="E216" s="23" t="n"/>
      <c r="F216" s="24" t="n"/>
      <c r="G216" s="24">
        <f>IF($A216="","",N(G215)+IF($B216="Incasso",$F216,-$F216))</f>
        <v/>
      </c>
    </row>
    <row r="217">
      <c r="A217" s="25" t="n"/>
      <c r="B217" s="11" t="n"/>
      <c r="C217" s="11" t="n"/>
      <c r="D217" s="11" t="n"/>
      <c r="E217" s="11" t="n"/>
      <c r="F217" s="16" t="n"/>
      <c r="G217" s="16">
        <f>IF($A217="","",N(G216)+IF($B217="Incasso",$F217,-$F217))</f>
        <v/>
      </c>
    </row>
    <row r="218">
      <c r="A218" s="22" t="n"/>
      <c r="B218" s="23" t="n"/>
      <c r="C218" s="23" t="n"/>
      <c r="D218" s="23" t="n"/>
      <c r="E218" s="23" t="n"/>
      <c r="F218" s="24" t="n"/>
      <c r="G218" s="24">
        <f>IF($A218="","",N(G217)+IF($B218="Incasso",$F218,-$F218))</f>
        <v/>
      </c>
    </row>
    <row r="219">
      <c r="A219" s="25" t="n"/>
      <c r="B219" s="11" t="n"/>
      <c r="C219" s="11" t="n"/>
      <c r="D219" s="11" t="n"/>
      <c r="E219" s="11" t="n"/>
      <c r="F219" s="16" t="n"/>
      <c r="G219" s="16">
        <f>IF($A219="","",N(G218)+IF($B219="Incasso",$F219,-$F219))</f>
        <v/>
      </c>
    </row>
    <row r="220">
      <c r="A220" s="22" t="n"/>
      <c r="B220" s="23" t="n"/>
      <c r="C220" s="23" t="n"/>
      <c r="D220" s="23" t="n"/>
      <c r="E220" s="23" t="n"/>
      <c r="F220" s="24" t="n"/>
      <c r="G220" s="24">
        <f>IF($A220="","",N(G219)+IF($B220="Incasso",$F220,-$F220))</f>
        <v/>
      </c>
    </row>
    <row r="221">
      <c r="A221" s="25" t="n"/>
      <c r="B221" s="11" t="n"/>
      <c r="C221" s="11" t="n"/>
      <c r="D221" s="11" t="n"/>
      <c r="E221" s="11" t="n"/>
      <c r="F221" s="16" t="n"/>
      <c r="G221" s="16">
        <f>IF($A221="","",N(G220)+IF($B221="Incasso",$F221,-$F221))</f>
        <v/>
      </c>
    </row>
    <row r="222">
      <c r="A222" s="22" t="n"/>
      <c r="B222" s="23" t="n"/>
      <c r="C222" s="23" t="n"/>
      <c r="D222" s="23" t="n"/>
      <c r="E222" s="23" t="n"/>
      <c r="F222" s="24" t="n"/>
      <c r="G222" s="24">
        <f>IF($A222="","",N(G221)+IF($B222="Incasso",$F222,-$F222))</f>
        <v/>
      </c>
    </row>
    <row r="223">
      <c r="A223" s="25" t="n"/>
      <c r="B223" s="11" t="n"/>
      <c r="C223" s="11" t="n"/>
      <c r="D223" s="11" t="n"/>
      <c r="E223" s="11" t="n"/>
      <c r="F223" s="16" t="n"/>
      <c r="G223" s="16">
        <f>IF($A223="","",N(G222)+IF($B223="Incasso",$F223,-$F223))</f>
        <v/>
      </c>
    </row>
    <row r="224">
      <c r="A224" s="22" t="n"/>
      <c r="B224" s="23" t="n"/>
      <c r="C224" s="23" t="n"/>
      <c r="D224" s="23" t="n"/>
      <c r="E224" s="23" t="n"/>
      <c r="F224" s="24" t="n"/>
      <c r="G224" s="24">
        <f>IF($A224="","",N(G223)+IF($B224="Incasso",$F224,-$F224))</f>
        <v/>
      </c>
    </row>
    <row r="225">
      <c r="A225" s="25" t="n"/>
      <c r="B225" s="11" t="n"/>
      <c r="C225" s="11" t="n"/>
      <c r="D225" s="11" t="n"/>
      <c r="E225" s="11" t="n"/>
      <c r="F225" s="16" t="n"/>
      <c r="G225" s="16">
        <f>IF($A225="","",N(G224)+IF($B225="Incasso",$F225,-$F225))</f>
        <v/>
      </c>
    </row>
    <row r="226">
      <c r="A226" s="22" t="n"/>
      <c r="B226" s="23" t="n"/>
      <c r="C226" s="23" t="n"/>
      <c r="D226" s="23" t="n"/>
      <c r="E226" s="23" t="n"/>
      <c r="F226" s="24" t="n"/>
      <c r="G226" s="24">
        <f>IF($A226="","",N(G225)+IF($B226="Incasso",$F226,-$F226))</f>
        <v/>
      </c>
    </row>
    <row r="227">
      <c r="A227" s="25" t="n"/>
      <c r="B227" s="11" t="n"/>
      <c r="C227" s="11" t="n"/>
      <c r="D227" s="11" t="n"/>
      <c r="E227" s="11" t="n"/>
      <c r="F227" s="16" t="n"/>
      <c r="G227" s="16">
        <f>IF($A227="","",N(G226)+IF($B227="Incasso",$F227,-$F227))</f>
        <v/>
      </c>
    </row>
    <row r="228">
      <c r="A228" s="22" t="n"/>
      <c r="B228" s="23" t="n"/>
      <c r="C228" s="23" t="n"/>
      <c r="D228" s="23" t="n"/>
      <c r="E228" s="23" t="n"/>
      <c r="F228" s="24" t="n"/>
      <c r="G228" s="24">
        <f>IF($A228="","",N(G227)+IF($B228="Incasso",$F228,-$F228))</f>
        <v/>
      </c>
    </row>
    <row r="229">
      <c r="A229" s="25" t="n"/>
      <c r="B229" s="11" t="n"/>
      <c r="C229" s="11" t="n"/>
      <c r="D229" s="11" t="n"/>
      <c r="E229" s="11" t="n"/>
      <c r="F229" s="16" t="n"/>
      <c r="G229" s="16">
        <f>IF($A229="","",N(G228)+IF($B229="Incasso",$F229,-$F229))</f>
        <v/>
      </c>
    </row>
    <row r="230">
      <c r="A230" s="22" t="n"/>
      <c r="B230" s="23" t="n"/>
      <c r="C230" s="23" t="n"/>
      <c r="D230" s="23" t="n"/>
      <c r="E230" s="23" t="n"/>
      <c r="F230" s="24" t="n"/>
      <c r="G230" s="24">
        <f>IF($A230="","",N(G229)+IF($B230="Incasso",$F230,-$F230))</f>
        <v/>
      </c>
    </row>
    <row r="231">
      <c r="A231" s="25" t="n"/>
      <c r="B231" s="11" t="n"/>
      <c r="C231" s="11" t="n"/>
      <c r="D231" s="11" t="n"/>
      <c r="E231" s="11" t="n"/>
      <c r="F231" s="16" t="n"/>
      <c r="G231" s="16">
        <f>IF($A231="","",N(G230)+IF($B231="Incasso",$F231,-$F231))</f>
        <v/>
      </c>
    </row>
    <row r="232">
      <c r="A232" s="22" t="n"/>
      <c r="B232" s="23" t="n"/>
      <c r="C232" s="23" t="n"/>
      <c r="D232" s="23" t="n"/>
      <c r="E232" s="23" t="n"/>
      <c r="F232" s="24" t="n"/>
      <c r="G232" s="24">
        <f>IF($A232="","",N(G231)+IF($B232="Incasso",$F232,-$F232))</f>
        <v/>
      </c>
    </row>
    <row r="233">
      <c r="A233" s="25" t="n"/>
      <c r="B233" s="11" t="n"/>
      <c r="C233" s="11" t="n"/>
      <c r="D233" s="11" t="n"/>
      <c r="E233" s="11" t="n"/>
      <c r="F233" s="16" t="n"/>
      <c r="G233" s="16">
        <f>IF($A233="","",N(G232)+IF($B233="Incasso",$F233,-$F233))</f>
        <v/>
      </c>
    </row>
    <row r="234">
      <c r="A234" s="22" t="n"/>
      <c r="B234" s="23" t="n"/>
      <c r="C234" s="23" t="n"/>
      <c r="D234" s="23" t="n"/>
      <c r="E234" s="23" t="n"/>
      <c r="F234" s="24" t="n"/>
      <c r="G234" s="24">
        <f>IF($A234="","",N(G233)+IF($B234="Incasso",$F234,-$F234))</f>
        <v/>
      </c>
    </row>
    <row r="235">
      <c r="A235" s="25" t="n"/>
      <c r="B235" s="11" t="n"/>
      <c r="C235" s="11" t="n"/>
      <c r="D235" s="11" t="n"/>
      <c r="E235" s="11" t="n"/>
      <c r="F235" s="16" t="n"/>
      <c r="G235" s="16">
        <f>IF($A235="","",N(G234)+IF($B235="Incasso",$F235,-$F235))</f>
        <v/>
      </c>
    </row>
    <row r="236">
      <c r="A236" s="22" t="n"/>
      <c r="B236" s="23" t="n"/>
      <c r="C236" s="23" t="n"/>
      <c r="D236" s="23" t="n"/>
      <c r="E236" s="23" t="n"/>
      <c r="F236" s="24" t="n"/>
      <c r="G236" s="24">
        <f>IF($A236="","",N(G235)+IF($B236="Incasso",$F236,-$F236))</f>
        <v/>
      </c>
    </row>
    <row r="237">
      <c r="A237" s="25" t="n"/>
      <c r="B237" s="11" t="n"/>
      <c r="C237" s="11" t="n"/>
      <c r="D237" s="11" t="n"/>
      <c r="E237" s="11" t="n"/>
      <c r="F237" s="16" t="n"/>
      <c r="G237" s="16">
        <f>IF($A237="","",N(G236)+IF($B237="Incasso",$F237,-$F237))</f>
        <v/>
      </c>
    </row>
    <row r="238">
      <c r="A238" s="22" t="n"/>
      <c r="B238" s="23" t="n"/>
      <c r="C238" s="23" t="n"/>
      <c r="D238" s="23" t="n"/>
      <c r="E238" s="23" t="n"/>
      <c r="F238" s="24" t="n"/>
      <c r="G238" s="24">
        <f>IF($A238="","",N(G237)+IF($B238="Incasso",$F238,-$F238))</f>
        <v/>
      </c>
    </row>
    <row r="239">
      <c r="A239" s="25" t="n"/>
      <c r="B239" s="11" t="n"/>
      <c r="C239" s="11" t="n"/>
      <c r="D239" s="11" t="n"/>
      <c r="E239" s="11" t="n"/>
      <c r="F239" s="16" t="n"/>
      <c r="G239" s="16">
        <f>IF($A239="","",N(G238)+IF($B239="Incasso",$F239,-$F239))</f>
        <v/>
      </c>
    </row>
    <row r="240">
      <c r="A240" s="22" t="n"/>
      <c r="B240" s="23" t="n"/>
      <c r="C240" s="23" t="n"/>
      <c r="D240" s="23" t="n"/>
      <c r="E240" s="23" t="n"/>
      <c r="F240" s="24" t="n"/>
      <c r="G240" s="24">
        <f>IF($A240="","",N(G239)+IF($B240="Incasso",$F240,-$F240))</f>
        <v/>
      </c>
    </row>
    <row r="241">
      <c r="A241" s="25" t="n"/>
      <c r="B241" s="11" t="n"/>
      <c r="C241" s="11" t="n"/>
      <c r="D241" s="11" t="n"/>
      <c r="E241" s="11" t="n"/>
      <c r="F241" s="16" t="n"/>
      <c r="G241" s="16">
        <f>IF($A241="","",N(G240)+IF($B241="Incasso",$F241,-$F241))</f>
        <v/>
      </c>
    </row>
    <row r="242">
      <c r="A242" s="22" t="n"/>
      <c r="B242" s="23" t="n"/>
      <c r="C242" s="23" t="n"/>
      <c r="D242" s="23" t="n"/>
      <c r="E242" s="23" t="n"/>
      <c r="F242" s="24" t="n"/>
      <c r="G242" s="24">
        <f>IF($A242="","",N(G241)+IF($B242="Incasso",$F242,-$F242))</f>
        <v/>
      </c>
    </row>
    <row r="243">
      <c r="A243" s="25" t="n"/>
      <c r="B243" s="11" t="n"/>
      <c r="C243" s="11" t="n"/>
      <c r="D243" s="11" t="n"/>
      <c r="E243" s="11" t="n"/>
      <c r="F243" s="16" t="n"/>
      <c r="G243" s="16">
        <f>IF($A243="","",N(G242)+IF($B243="Incasso",$F243,-$F243))</f>
        <v/>
      </c>
    </row>
    <row r="244">
      <c r="A244" s="22" t="n"/>
      <c r="B244" s="23" t="n"/>
      <c r="C244" s="23" t="n"/>
      <c r="D244" s="23" t="n"/>
      <c r="E244" s="23" t="n"/>
      <c r="F244" s="24" t="n"/>
      <c r="G244" s="24">
        <f>IF($A244="","",N(G243)+IF($B244="Incasso",$F244,-$F244))</f>
        <v/>
      </c>
    </row>
    <row r="245">
      <c r="A245" s="25" t="n"/>
      <c r="B245" s="11" t="n"/>
      <c r="C245" s="11" t="n"/>
      <c r="D245" s="11" t="n"/>
      <c r="E245" s="11" t="n"/>
      <c r="F245" s="16" t="n"/>
      <c r="G245" s="16">
        <f>IF($A245="","",N(G244)+IF($B245="Incasso",$F245,-$F245))</f>
        <v/>
      </c>
    </row>
    <row r="246">
      <c r="A246" s="22" t="n"/>
      <c r="B246" s="23" t="n"/>
      <c r="C246" s="23" t="n"/>
      <c r="D246" s="23" t="n"/>
      <c r="E246" s="23" t="n"/>
      <c r="F246" s="24" t="n"/>
      <c r="G246" s="24">
        <f>IF($A246="","",N(G245)+IF($B246="Incasso",$F246,-$F246))</f>
        <v/>
      </c>
    </row>
    <row r="247">
      <c r="A247" s="25" t="n"/>
      <c r="B247" s="11" t="n"/>
      <c r="C247" s="11" t="n"/>
      <c r="D247" s="11" t="n"/>
      <c r="E247" s="11" t="n"/>
      <c r="F247" s="16" t="n"/>
      <c r="G247" s="16">
        <f>IF($A247="","",N(G246)+IF($B247="Incasso",$F247,-$F247))</f>
        <v/>
      </c>
    </row>
    <row r="248">
      <c r="A248" s="22" t="n"/>
      <c r="B248" s="23" t="n"/>
      <c r="C248" s="23" t="n"/>
      <c r="D248" s="23" t="n"/>
      <c r="E248" s="23" t="n"/>
      <c r="F248" s="24" t="n"/>
      <c r="G248" s="24">
        <f>IF($A248="","",N(G247)+IF($B248="Incasso",$F248,-$F248))</f>
        <v/>
      </c>
    </row>
    <row r="249">
      <c r="A249" s="25" t="n"/>
      <c r="B249" s="11" t="n"/>
      <c r="C249" s="11" t="n"/>
      <c r="D249" s="11" t="n"/>
      <c r="E249" s="11" t="n"/>
      <c r="F249" s="16" t="n"/>
      <c r="G249" s="16">
        <f>IF($A249="","",N(G248)+IF($B249="Incasso",$F249,-$F249))</f>
        <v/>
      </c>
    </row>
    <row r="250">
      <c r="A250" s="22" t="n"/>
      <c r="B250" s="23" t="n"/>
      <c r="C250" s="23" t="n"/>
      <c r="D250" s="23" t="n"/>
      <c r="E250" s="23" t="n"/>
      <c r="F250" s="24" t="n"/>
      <c r="G250" s="24">
        <f>IF($A250="","",N(G249)+IF($B250="Incasso",$F250,-$F250))</f>
        <v/>
      </c>
    </row>
    <row r="251">
      <c r="A251" s="25" t="n"/>
      <c r="B251" s="11" t="n"/>
      <c r="C251" s="11" t="n"/>
      <c r="D251" s="11" t="n"/>
      <c r="E251" s="11" t="n"/>
      <c r="F251" s="16" t="n"/>
      <c r="G251" s="16">
        <f>IF($A251="","",N(G250)+IF($B251="Incasso",$F251,-$F251))</f>
        <v/>
      </c>
    </row>
    <row r="252">
      <c r="A252" s="22" t="n"/>
      <c r="B252" s="23" t="n"/>
      <c r="C252" s="23" t="n"/>
      <c r="D252" s="23" t="n"/>
      <c r="E252" s="23" t="n"/>
      <c r="F252" s="24" t="n"/>
      <c r="G252" s="24">
        <f>IF($A252="","",N(G251)+IF($B252="Incasso",$F252,-$F252))</f>
        <v/>
      </c>
    </row>
    <row r="253">
      <c r="A253" s="25" t="n"/>
      <c r="B253" s="11" t="n"/>
      <c r="C253" s="11" t="n"/>
      <c r="D253" s="11" t="n"/>
      <c r="E253" s="11" t="n"/>
      <c r="F253" s="16" t="n"/>
      <c r="G253" s="16">
        <f>IF($A253="","",N(G252)+IF($B253="Incasso",$F253,-$F253))</f>
        <v/>
      </c>
    </row>
    <row r="254">
      <c r="A254" s="22" t="n"/>
      <c r="B254" s="23" t="n"/>
      <c r="C254" s="23" t="n"/>
      <c r="D254" s="23" t="n"/>
      <c r="E254" s="23" t="n"/>
      <c r="F254" s="24" t="n"/>
      <c r="G254" s="24">
        <f>IF($A254="","",N(G253)+IF($B254="Incasso",$F254,-$F254))</f>
        <v/>
      </c>
    </row>
    <row r="255">
      <c r="A255" s="25" t="n"/>
      <c r="B255" s="11" t="n"/>
      <c r="C255" s="11" t="n"/>
      <c r="D255" s="11" t="n"/>
      <c r="E255" s="11" t="n"/>
      <c r="F255" s="16" t="n"/>
      <c r="G255" s="16">
        <f>IF($A255="","",N(G254)+IF($B255="Incasso",$F255,-$F255))</f>
        <v/>
      </c>
    </row>
    <row r="256">
      <c r="A256" s="22" t="n"/>
      <c r="B256" s="23" t="n"/>
      <c r="C256" s="23" t="n"/>
      <c r="D256" s="23" t="n"/>
      <c r="E256" s="23" t="n"/>
      <c r="F256" s="24" t="n"/>
      <c r="G256" s="24">
        <f>IF($A256="","",N(G255)+IF($B256="Incasso",$F256,-$F256))</f>
        <v/>
      </c>
    </row>
    <row r="257">
      <c r="A257" s="25" t="n"/>
      <c r="B257" s="11" t="n"/>
      <c r="C257" s="11" t="n"/>
      <c r="D257" s="11" t="n"/>
      <c r="E257" s="11" t="n"/>
      <c r="F257" s="16" t="n"/>
      <c r="G257" s="16">
        <f>IF($A257="","",N(G256)+IF($B257="Incasso",$F257,-$F257))</f>
        <v/>
      </c>
    </row>
    <row r="258">
      <c r="A258" s="22" t="n"/>
      <c r="B258" s="23" t="n"/>
      <c r="C258" s="23" t="n"/>
      <c r="D258" s="23" t="n"/>
      <c r="E258" s="23" t="n"/>
      <c r="F258" s="24" t="n"/>
      <c r="G258" s="24">
        <f>IF($A258="","",N(G257)+IF($B258="Incasso",$F258,-$F258))</f>
        <v/>
      </c>
    </row>
    <row r="259">
      <c r="A259" s="25" t="n"/>
      <c r="B259" s="11" t="n"/>
      <c r="C259" s="11" t="n"/>
      <c r="D259" s="11" t="n"/>
      <c r="E259" s="11" t="n"/>
      <c r="F259" s="16" t="n"/>
      <c r="G259" s="16">
        <f>IF($A259="","",N(G258)+IF($B259="Incasso",$F259,-$F259))</f>
        <v/>
      </c>
    </row>
    <row r="260">
      <c r="A260" s="22" t="n"/>
      <c r="B260" s="23" t="n"/>
      <c r="C260" s="23" t="n"/>
      <c r="D260" s="23" t="n"/>
      <c r="E260" s="23" t="n"/>
      <c r="F260" s="24" t="n"/>
      <c r="G260" s="24">
        <f>IF($A260="","",N(G259)+IF($B260="Incasso",$F260,-$F260))</f>
        <v/>
      </c>
    </row>
    <row r="261">
      <c r="A261" s="25" t="n"/>
      <c r="B261" s="11" t="n"/>
      <c r="C261" s="11" t="n"/>
      <c r="D261" s="11" t="n"/>
      <c r="E261" s="11" t="n"/>
      <c r="F261" s="16" t="n"/>
      <c r="G261" s="16">
        <f>IF($A261="","",N(G260)+IF($B261="Incasso",$F261,-$F261))</f>
        <v/>
      </c>
    </row>
    <row r="262">
      <c r="A262" s="22" t="n"/>
      <c r="B262" s="23" t="n"/>
      <c r="C262" s="23" t="n"/>
      <c r="D262" s="23" t="n"/>
      <c r="E262" s="23" t="n"/>
      <c r="F262" s="24" t="n"/>
      <c r="G262" s="24">
        <f>IF($A262="","",N(G261)+IF($B262="Incasso",$F262,-$F262))</f>
        <v/>
      </c>
    </row>
    <row r="263">
      <c r="A263" s="25" t="n"/>
      <c r="B263" s="11" t="n"/>
      <c r="C263" s="11" t="n"/>
      <c r="D263" s="11" t="n"/>
      <c r="E263" s="11" t="n"/>
      <c r="F263" s="16" t="n"/>
      <c r="G263" s="16">
        <f>IF($A263="","",N(G262)+IF($B263="Incasso",$F263,-$F263))</f>
        <v/>
      </c>
    </row>
    <row r="264">
      <c r="A264" s="22" t="n"/>
      <c r="B264" s="23" t="n"/>
      <c r="C264" s="23" t="n"/>
      <c r="D264" s="23" t="n"/>
      <c r="E264" s="23" t="n"/>
      <c r="F264" s="24" t="n"/>
      <c r="G264" s="24">
        <f>IF($A264="","",N(G263)+IF($B264="Incasso",$F264,-$F264))</f>
        <v/>
      </c>
    </row>
    <row r="265">
      <c r="A265" s="25" t="n"/>
      <c r="B265" s="11" t="n"/>
      <c r="C265" s="11" t="n"/>
      <c r="D265" s="11" t="n"/>
      <c r="E265" s="11" t="n"/>
      <c r="F265" s="16" t="n"/>
      <c r="G265" s="16">
        <f>IF($A265="","",N(G264)+IF($B265="Incasso",$F265,-$F265))</f>
        <v/>
      </c>
    </row>
    <row r="266">
      <c r="A266" s="22" t="n"/>
      <c r="B266" s="23" t="n"/>
      <c r="C266" s="23" t="n"/>
      <c r="D266" s="23" t="n"/>
      <c r="E266" s="23" t="n"/>
      <c r="F266" s="24" t="n"/>
      <c r="G266" s="24">
        <f>IF($A266="","",N(G265)+IF($B266="Incasso",$F266,-$F266))</f>
        <v/>
      </c>
    </row>
    <row r="267">
      <c r="A267" s="25" t="n"/>
      <c r="B267" s="11" t="n"/>
      <c r="C267" s="11" t="n"/>
      <c r="D267" s="11" t="n"/>
      <c r="E267" s="11" t="n"/>
      <c r="F267" s="16" t="n"/>
      <c r="G267" s="16">
        <f>IF($A267="","",N(G266)+IF($B267="Incasso",$F267,-$F267))</f>
        <v/>
      </c>
    </row>
    <row r="268">
      <c r="A268" s="22" t="n"/>
      <c r="B268" s="23" t="n"/>
      <c r="C268" s="23" t="n"/>
      <c r="D268" s="23" t="n"/>
      <c r="E268" s="23" t="n"/>
      <c r="F268" s="24" t="n"/>
      <c r="G268" s="24">
        <f>IF($A268="","",N(G267)+IF($B268="Incasso",$F268,-$F268))</f>
        <v/>
      </c>
    </row>
    <row r="269">
      <c r="A269" s="25" t="n"/>
      <c r="B269" s="11" t="n"/>
      <c r="C269" s="11" t="n"/>
      <c r="D269" s="11" t="n"/>
      <c r="E269" s="11" t="n"/>
      <c r="F269" s="16" t="n"/>
      <c r="G269" s="16">
        <f>IF($A269="","",N(G268)+IF($B269="Incasso",$F269,-$F269))</f>
        <v/>
      </c>
    </row>
    <row r="270">
      <c r="A270" s="22" t="n"/>
      <c r="B270" s="23" t="n"/>
      <c r="C270" s="23" t="n"/>
      <c r="D270" s="23" t="n"/>
      <c r="E270" s="23" t="n"/>
      <c r="F270" s="24" t="n"/>
      <c r="G270" s="24">
        <f>IF($A270="","",N(G269)+IF($B270="Incasso",$F270,-$F270))</f>
        <v/>
      </c>
    </row>
    <row r="271">
      <c r="A271" s="25" t="n"/>
      <c r="B271" s="11" t="n"/>
      <c r="C271" s="11" t="n"/>
      <c r="D271" s="11" t="n"/>
      <c r="E271" s="11" t="n"/>
      <c r="F271" s="16" t="n"/>
      <c r="G271" s="16">
        <f>IF($A271="","",N(G270)+IF($B271="Incasso",$F271,-$F271))</f>
        <v/>
      </c>
    </row>
    <row r="272">
      <c r="A272" s="22" t="n"/>
      <c r="B272" s="23" t="n"/>
      <c r="C272" s="23" t="n"/>
      <c r="D272" s="23" t="n"/>
      <c r="E272" s="23" t="n"/>
      <c r="F272" s="24" t="n"/>
      <c r="G272" s="24">
        <f>IF($A272="","",N(G271)+IF($B272="Incasso",$F272,-$F272))</f>
        <v/>
      </c>
    </row>
    <row r="273">
      <c r="A273" s="25" t="n"/>
      <c r="B273" s="11" t="n"/>
      <c r="C273" s="11" t="n"/>
      <c r="D273" s="11" t="n"/>
      <c r="E273" s="11" t="n"/>
      <c r="F273" s="16" t="n"/>
      <c r="G273" s="16">
        <f>IF($A273="","",N(G272)+IF($B273="Incasso",$F273,-$F273))</f>
        <v/>
      </c>
    </row>
    <row r="274">
      <c r="A274" s="22" t="n"/>
      <c r="B274" s="23" t="n"/>
      <c r="C274" s="23" t="n"/>
      <c r="D274" s="23" t="n"/>
      <c r="E274" s="23" t="n"/>
      <c r="F274" s="24" t="n"/>
      <c r="G274" s="24">
        <f>IF($A274="","",N(G273)+IF($B274="Incasso",$F274,-$F274))</f>
        <v/>
      </c>
    </row>
    <row r="275">
      <c r="A275" s="25" t="n"/>
      <c r="B275" s="11" t="n"/>
      <c r="C275" s="11" t="n"/>
      <c r="D275" s="11" t="n"/>
      <c r="E275" s="11" t="n"/>
      <c r="F275" s="16" t="n"/>
      <c r="G275" s="16">
        <f>IF($A275="","",N(G274)+IF($B275="Incasso",$F275,-$F275))</f>
        <v/>
      </c>
    </row>
    <row r="276">
      <c r="A276" s="22" t="n"/>
      <c r="B276" s="23" t="n"/>
      <c r="C276" s="23" t="n"/>
      <c r="D276" s="23" t="n"/>
      <c r="E276" s="23" t="n"/>
      <c r="F276" s="24" t="n"/>
      <c r="G276" s="24">
        <f>IF($A276="","",N(G275)+IF($B276="Incasso",$F276,-$F276))</f>
        <v/>
      </c>
    </row>
    <row r="277">
      <c r="A277" s="25" t="n"/>
      <c r="B277" s="11" t="n"/>
      <c r="C277" s="11" t="n"/>
      <c r="D277" s="11" t="n"/>
      <c r="E277" s="11" t="n"/>
      <c r="F277" s="16" t="n"/>
      <c r="G277" s="16">
        <f>IF($A277="","",N(G276)+IF($B277="Incasso",$F277,-$F277))</f>
        <v/>
      </c>
    </row>
    <row r="278">
      <c r="A278" s="22" t="n"/>
      <c r="B278" s="23" t="n"/>
      <c r="C278" s="23" t="n"/>
      <c r="D278" s="23" t="n"/>
      <c r="E278" s="23" t="n"/>
      <c r="F278" s="24" t="n"/>
      <c r="G278" s="24">
        <f>IF($A278="","",N(G277)+IF($B278="Incasso",$F278,-$F278))</f>
        <v/>
      </c>
    </row>
    <row r="279">
      <c r="A279" s="25" t="n"/>
      <c r="B279" s="11" t="n"/>
      <c r="C279" s="11" t="n"/>
      <c r="D279" s="11" t="n"/>
      <c r="E279" s="11" t="n"/>
      <c r="F279" s="16" t="n"/>
      <c r="G279" s="16">
        <f>IF($A279="","",N(G278)+IF($B279="Incasso",$F279,-$F279))</f>
        <v/>
      </c>
    </row>
    <row r="280">
      <c r="A280" s="22" t="n"/>
      <c r="B280" s="23" t="n"/>
      <c r="C280" s="23" t="n"/>
      <c r="D280" s="23" t="n"/>
      <c r="E280" s="23" t="n"/>
      <c r="F280" s="24" t="n"/>
      <c r="G280" s="24">
        <f>IF($A280="","",N(G279)+IF($B280="Incasso",$F280,-$F280))</f>
        <v/>
      </c>
    </row>
    <row r="281">
      <c r="A281" s="25" t="n"/>
      <c r="B281" s="11" t="n"/>
      <c r="C281" s="11" t="n"/>
      <c r="D281" s="11" t="n"/>
      <c r="E281" s="11" t="n"/>
      <c r="F281" s="16" t="n"/>
      <c r="G281" s="16">
        <f>IF($A281="","",N(G280)+IF($B281="Incasso",$F281,-$F281))</f>
        <v/>
      </c>
    </row>
    <row r="282">
      <c r="A282" s="22" t="n"/>
      <c r="B282" s="23" t="n"/>
      <c r="C282" s="23" t="n"/>
      <c r="D282" s="23" t="n"/>
      <c r="E282" s="23" t="n"/>
      <c r="F282" s="24" t="n"/>
      <c r="G282" s="24">
        <f>IF($A282="","",N(G281)+IF($B282="Incasso",$F282,-$F282))</f>
        <v/>
      </c>
    </row>
    <row r="283">
      <c r="A283" s="25" t="n"/>
      <c r="B283" s="11" t="n"/>
      <c r="C283" s="11" t="n"/>
      <c r="D283" s="11" t="n"/>
      <c r="E283" s="11" t="n"/>
      <c r="F283" s="16" t="n"/>
      <c r="G283" s="16">
        <f>IF($A283="","",N(G282)+IF($B283="Incasso",$F283,-$F283))</f>
        <v/>
      </c>
    </row>
    <row r="284">
      <c r="A284" s="22" t="n"/>
      <c r="B284" s="23" t="n"/>
      <c r="C284" s="23" t="n"/>
      <c r="D284" s="23" t="n"/>
      <c r="E284" s="23" t="n"/>
      <c r="F284" s="24" t="n"/>
      <c r="G284" s="24">
        <f>IF($A284="","",N(G283)+IF($B284="Incasso",$F284,-$F284))</f>
        <v/>
      </c>
    </row>
    <row r="285">
      <c r="A285" s="25" t="n"/>
      <c r="B285" s="11" t="n"/>
      <c r="C285" s="11" t="n"/>
      <c r="D285" s="11" t="n"/>
      <c r="E285" s="11" t="n"/>
      <c r="F285" s="16" t="n"/>
      <c r="G285" s="16">
        <f>IF($A285="","",N(G284)+IF($B285="Incasso",$F285,-$F285))</f>
        <v/>
      </c>
    </row>
    <row r="286">
      <c r="A286" s="22" t="n"/>
      <c r="B286" s="23" t="n"/>
      <c r="C286" s="23" t="n"/>
      <c r="D286" s="23" t="n"/>
      <c r="E286" s="23" t="n"/>
      <c r="F286" s="24" t="n"/>
      <c r="G286" s="24">
        <f>IF($A286="","",N(G285)+IF($B286="Incasso",$F286,-$F286))</f>
        <v/>
      </c>
    </row>
    <row r="287">
      <c r="A287" s="25" t="n"/>
      <c r="B287" s="11" t="n"/>
      <c r="C287" s="11" t="n"/>
      <c r="D287" s="11" t="n"/>
      <c r="E287" s="11" t="n"/>
      <c r="F287" s="16" t="n"/>
      <c r="G287" s="16">
        <f>IF($A287="","",N(G286)+IF($B287="Incasso",$F287,-$F287))</f>
        <v/>
      </c>
    </row>
    <row r="288">
      <c r="A288" s="22" t="n"/>
      <c r="B288" s="23" t="n"/>
      <c r="C288" s="23" t="n"/>
      <c r="D288" s="23" t="n"/>
      <c r="E288" s="23" t="n"/>
      <c r="F288" s="24" t="n"/>
      <c r="G288" s="24">
        <f>IF($A288="","",N(G287)+IF($B288="Incasso",$F288,-$F288))</f>
        <v/>
      </c>
    </row>
    <row r="289">
      <c r="A289" s="25" t="n"/>
      <c r="B289" s="11" t="n"/>
      <c r="C289" s="11" t="n"/>
      <c r="D289" s="11" t="n"/>
      <c r="E289" s="11" t="n"/>
      <c r="F289" s="16" t="n"/>
      <c r="G289" s="16">
        <f>IF($A289="","",N(G288)+IF($B289="Incasso",$F289,-$F289))</f>
        <v/>
      </c>
    </row>
    <row r="290">
      <c r="A290" s="22" t="n"/>
      <c r="B290" s="23" t="n"/>
      <c r="C290" s="23" t="n"/>
      <c r="D290" s="23" t="n"/>
      <c r="E290" s="23" t="n"/>
      <c r="F290" s="24" t="n"/>
      <c r="G290" s="24">
        <f>IF($A290="","",N(G289)+IF($B290="Incasso",$F290,-$F290))</f>
        <v/>
      </c>
    </row>
    <row r="291">
      <c r="A291" s="25" t="n"/>
      <c r="B291" s="11" t="n"/>
      <c r="C291" s="11" t="n"/>
      <c r="D291" s="11" t="n"/>
      <c r="E291" s="11" t="n"/>
      <c r="F291" s="16" t="n"/>
      <c r="G291" s="16">
        <f>IF($A291="","",N(G290)+IF($B291="Incasso",$F291,-$F291))</f>
        <v/>
      </c>
    </row>
    <row r="292">
      <c r="A292" s="22" t="n"/>
      <c r="B292" s="23" t="n"/>
      <c r="C292" s="23" t="n"/>
      <c r="D292" s="23" t="n"/>
      <c r="E292" s="23" t="n"/>
      <c r="F292" s="24" t="n"/>
      <c r="G292" s="24">
        <f>IF($A292="","",N(G291)+IF($B292="Incasso",$F292,-$F292))</f>
        <v/>
      </c>
    </row>
    <row r="293">
      <c r="A293" s="25" t="n"/>
      <c r="B293" s="11" t="n"/>
      <c r="C293" s="11" t="n"/>
      <c r="D293" s="11" t="n"/>
      <c r="E293" s="11" t="n"/>
      <c r="F293" s="16" t="n"/>
      <c r="G293" s="16">
        <f>IF($A293="","",N(G292)+IF($B293="Incasso",$F293,-$F293))</f>
        <v/>
      </c>
    </row>
    <row r="294">
      <c r="A294" s="22" t="n"/>
      <c r="B294" s="23" t="n"/>
      <c r="C294" s="23" t="n"/>
      <c r="D294" s="23" t="n"/>
      <c r="E294" s="23" t="n"/>
      <c r="F294" s="24" t="n"/>
      <c r="G294" s="24">
        <f>IF($A294="","",N(G293)+IF($B294="Incasso",$F294,-$F294))</f>
        <v/>
      </c>
    </row>
    <row r="295">
      <c r="A295" s="25" t="n"/>
      <c r="B295" s="11" t="n"/>
      <c r="C295" s="11" t="n"/>
      <c r="D295" s="11" t="n"/>
      <c r="E295" s="11" t="n"/>
      <c r="F295" s="16" t="n"/>
      <c r="G295" s="16">
        <f>IF($A295="","",N(G294)+IF($B295="Incasso",$F295,-$F295))</f>
        <v/>
      </c>
    </row>
    <row r="296">
      <c r="A296" s="22" t="n"/>
      <c r="B296" s="23" t="n"/>
      <c r="C296" s="23" t="n"/>
      <c r="D296" s="23" t="n"/>
      <c r="E296" s="23" t="n"/>
      <c r="F296" s="24" t="n"/>
      <c r="G296" s="24">
        <f>IF($A296="","",N(G295)+IF($B296="Incasso",$F296,-$F296))</f>
        <v/>
      </c>
    </row>
    <row r="297">
      <c r="A297" s="25" t="n"/>
      <c r="B297" s="11" t="n"/>
      <c r="C297" s="11" t="n"/>
      <c r="D297" s="11" t="n"/>
      <c r="E297" s="11" t="n"/>
      <c r="F297" s="16" t="n"/>
      <c r="G297" s="16">
        <f>IF($A297="","",N(G296)+IF($B297="Incasso",$F297,-$F297))</f>
        <v/>
      </c>
    </row>
    <row r="298">
      <c r="A298" s="22" t="n"/>
      <c r="B298" s="23" t="n"/>
      <c r="C298" s="23" t="n"/>
      <c r="D298" s="23" t="n"/>
      <c r="E298" s="23" t="n"/>
      <c r="F298" s="24" t="n"/>
      <c r="G298" s="24">
        <f>IF($A298="","",N(G297)+IF($B298="Incasso",$F298,-$F298))</f>
        <v/>
      </c>
    </row>
    <row r="299">
      <c r="A299" s="25" t="n"/>
      <c r="B299" s="11" t="n"/>
      <c r="C299" s="11" t="n"/>
      <c r="D299" s="11" t="n"/>
      <c r="E299" s="11" t="n"/>
      <c r="F299" s="16" t="n"/>
      <c r="G299" s="16">
        <f>IF($A299="","",N(G298)+IF($B299="Incasso",$F299,-$F299))</f>
        <v/>
      </c>
    </row>
    <row r="300">
      <c r="A300" s="22" t="n"/>
      <c r="B300" s="23" t="n"/>
      <c r="C300" s="23" t="n"/>
      <c r="D300" s="23" t="n"/>
      <c r="E300" s="23" t="n"/>
      <c r="F300" s="24" t="n"/>
      <c r="G300" s="24">
        <f>IF($A300="","",N(G299)+IF($B300="Incasso",$F300,-$F300))</f>
        <v/>
      </c>
    </row>
    <row r="301">
      <c r="A301" s="25" t="n"/>
      <c r="B301" s="11" t="n"/>
      <c r="C301" s="11" t="n"/>
      <c r="D301" s="11" t="n"/>
      <c r="E301" s="11" t="n"/>
      <c r="F301" s="16" t="n"/>
      <c r="G301" s="16">
        <f>IF($A301="","",N(G300)+IF($B301="Incasso",$F301,-$F301))</f>
        <v/>
      </c>
    </row>
    <row r="302">
      <c r="A302" s="22" t="n"/>
      <c r="B302" s="23" t="n"/>
      <c r="C302" s="23" t="n"/>
      <c r="D302" s="23" t="n"/>
      <c r="E302" s="23" t="n"/>
      <c r="F302" s="24" t="n"/>
      <c r="G302" s="24">
        <f>IF($A302="","",N(G301)+IF($B302="Incasso",$F302,-$F302))</f>
        <v/>
      </c>
    </row>
    <row r="303">
      <c r="A303" s="25" t="n"/>
      <c r="B303" s="11" t="n"/>
      <c r="C303" s="11" t="n"/>
      <c r="D303" s="11" t="n"/>
      <c r="E303" s="11" t="n"/>
      <c r="F303" s="16" t="n"/>
      <c r="G303" s="16">
        <f>IF($A303="","",N(G302)+IF($B303="Incasso",$F303,-$F303))</f>
        <v/>
      </c>
    </row>
    <row r="304">
      <c r="A304" s="22" t="n"/>
      <c r="B304" s="23" t="n"/>
      <c r="C304" s="23" t="n"/>
      <c r="D304" s="23" t="n"/>
      <c r="E304" s="23" t="n"/>
      <c r="F304" s="24" t="n"/>
      <c r="G304" s="24">
        <f>IF($A304="","",N(G303)+IF($B304="Incasso",$F304,-$F304))</f>
        <v/>
      </c>
    </row>
    <row r="305">
      <c r="A305" s="25" t="n"/>
      <c r="B305" s="11" t="n"/>
      <c r="C305" s="11" t="n"/>
      <c r="D305" s="11" t="n"/>
      <c r="E305" s="11" t="n"/>
      <c r="F305" s="16" t="n"/>
      <c r="G305" s="16">
        <f>IF($A305="","",N(G304)+IF($B305="Incasso",$F305,-$F305))</f>
        <v/>
      </c>
    </row>
    <row r="306">
      <c r="A306" s="22" t="n"/>
      <c r="B306" s="23" t="n"/>
      <c r="C306" s="23" t="n"/>
      <c r="D306" s="23" t="n"/>
      <c r="E306" s="23" t="n"/>
      <c r="F306" s="24" t="n"/>
      <c r="G306" s="24">
        <f>IF($A306="","",N(G305)+IF($B306="Incasso",$F306,-$F306))</f>
        <v/>
      </c>
    </row>
    <row r="307">
      <c r="A307" s="25" t="n"/>
      <c r="B307" s="11" t="n"/>
      <c r="C307" s="11" t="n"/>
      <c r="D307" s="11" t="n"/>
      <c r="E307" s="11" t="n"/>
      <c r="F307" s="16" t="n"/>
      <c r="G307" s="16">
        <f>IF($A307="","",N(G306)+IF($B307="Incasso",$F307,-$F307))</f>
        <v/>
      </c>
    </row>
    <row r="308">
      <c r="A308" s="22" t="n"/>
      <c r="B308" s="23" t="n"/>
      <c r="C308" s="23" t="n"/>
      <c r="D308" s="23" t="n"/>
      <c r="E308" s="23" t="n"/>
      <c r="F308" s="24" t="n"/>
      <c r="G308" s="24">
        <f>IF($A308="","",N(G307)+IF($B308="Incasso",$F308,-$F308))</f>
        <v/>
      </c>
    </row>
    <row r="309">
      <c r="A309" s="25" t="n"/>
      <c r="B309" s="11" t="n"/>
      <c r="C309" s="11" t="n"/>
      <c r="D309" s="11" t="n"/>
      <c r="E309" s="11" t="n"/>
      <c r="F309" s="16" t="n"/>
      <c r="G309" s="16">
        <f>IF($A309="","",N(G308)+IF($B309="Incasso",$F309,-$F309))</f>
        <v/>
      </c>
    </row>
    <row r="310">
      <c r="A310" s="22" t="n"/>
      <c r="B310" s="23" t="n"/>
      <c r="C310" s="23" t="n"/>
      <c r="D310" s="23" t="n"/>
      <c r="E310" s="23" t="n"/>
      <c r="F310" s="24" t="n"/>
      <c r="G310" s="24">
        <f>IF($A310="","",N(G309)+IF($B310="Incasso",$F310,-$F310))</f>
        <v/>
      </c>
    </row>
    <row r="311">
      <c r="A311" s="25" t="n"/>
      <c r="B311" s="11" t="n"/>
      <c r="C311" s="11" t="n"/>
      <c r="D311" s="11" t="n"/>
      <c r="E311" s="11" t="n"/>
      <c r="F311" s="16" t="n"/>
      <c r="G311" s="16">
        <f>IF($A311="","",N(G310)+IF($B311="Incasso",$F311,-$F311))</f>
        <v/>
      </c>
    </row>
    <row r="312">
      <c r="A312" s="22" t="n"/>
      <c r="B312" s="23" t="n"/>
      <c r="C312" s="23" t="n"/>
      <c r="D312" s="23" t="n"/>
      <c r="E312" s="23" t="n"/>
      <c r="F312" s="24" t="n"/>
      <c r="G312" s="24">
        <f>IF($A312="","",N(G311)+IF($B312="Incasso",$F312,-$F312))</f>
        <v/>
      </c>
    </row>
    <row r="313">
      <c r="A313" s="25" t="n"/>
      <c r="B313" s="11" t="n"/>
      <c r="C313" s="11" t="n"/>
      <c r="D313" s="11" t="n"/>
      <c r="E313" s="11" t="n"/>
      <c r="F313" s="16" t="n"/>
      <c r="G313" s="16">
        <f>IF($A313="","",N(G312)+IF($B313="Incasso",$F313,-$F313))</f>
        <v/>
      </c>
    </row>
    <row r="314">
      <c r="A314" s="22" t="n"/>
      <c r="B314" s="23" t="n"/>
      <c r="C314" s="23" t="n"/>
      <c r="D314" s="23" t="n"/>
      <c r="E314" s="23" t="n"/>
      <c r="F314" s="24" t="n"/>
      <c r="G314" s="24">
        <f>IF($A314="","",N(G313)+IF($B314="Incasso",$F314,-$F314))</f>
        <v/>
      </c>
    </row>
    <row r="315">
      <c r="A315" s="25" t="n"/>
      <c r="B315" s="11" t="n"/>
      <c r="C315" s="11" t="n"/>
      <c r="D315" s="11" t="n"/>
      <c r="E315" s="11" t="n"/>
      <c r="F315" s="16" t="n"/>
      <c r="G315" s="16">
        <f>IF($A315="","",N(G314)+IF($B315="Incasso",$F315,-$F315))</f>
        <v/>
      </c>
    </row>
    <row r="316">
      <c r="A316" s="22" t="n"/>
      <c r="B316" s="23" t="n"/>
      <c r="C316" s="23" t="n"/>
      <c r="D316" s="23" t="n"/>
      <c r="E316" s="23" t="n"/>
      <c r="F316" s="24" t="n"/>
      <c r="G316" s="24">
        <f>IF($A316="","",N(G315)+IF($B316="Incasso",$F316,-$F316))</f>
        <v/>
      </c>
    </row>
    <row r="317">
      <c r="A317" s="25" t="n"/>
      <c r="B317" s="11" t="n"/>
      <c r="C317" s="11" t="n"/>
      <c r="D317" s="11" t="n"/>
      <c r="E317" s="11" t="n"/>
      <c r="F317" s="16" t="n"/>
      <c r="G317" s="16">
        <f>IF($A317="","",N(G316)+IF($B317="Incasso",$F317,-$F317))</f>
        <v/>
      </c>
    </row>
    <row r="318">
      <c r="A318" s="22" t="n"/>
      <c r="B318" s="23" t="n"/>
      <c r="C318" s="23" t="n"/>
      <c r="D318" s="23" t="n"/>
      <c r="E318" s="23" t="n"/>
      <c r="F318" s="24" t="n"/>
      <c r="G318" s="24">
        <f>IF($A318="","",N(G317)+IF($B318="Incasso",$F318,-$F318))</f>
        <v/>
      </c>
    </row>
    <row r="319">
      <c r="A319" s="25" t="n"/>
      <c r="B319" s="11" t="n"/>
      <c r="C319" s="11" t="n"/>
      <c r="D319" s="11" t="n"/>
      <c r="E319" s="11" t="n"/>
      <c r="F319" s="16" t="n"/>
      <c r="G319" s="16">
        <f>IF($A319="","",N(G318)+IF($B319="Incasso",$F319,-$F319))</f>
        <v/>
      </c>
    </row>
    <row r="320">
      <c r="A320" s="22" t="n"/>
      <c r="B320" s="23" t="n"/>
      <c r="C320" s="23" t="n"/>
      <c r="D320" s="23" t="n"/>
      <c r="E320" s="23" t="n"/>
      <c r="F320" s="24" t="n"/>
      <c r="G320" s="24">
        <f>IF($A320="","",N(G319)+IF($B320="Incasso",$F320,-$F320))</f>
        <v/>
      </c>
    </row>
    <row r="321">
      <c r="A321" s="25" t="n"/>
      <c r="B321" s="11" t="n"/>
      <c r="C321" s="11" t="n"/>
      <c r="D321" s="11" t="n"/>
      <c r="E321" s="11" t="n"/>
      <c r="F321" s="16" t="n"/>
      <c r="G321" s="16">
        <f>IF($A321="","",N(G320)+IF($B321="Incasso",$F321,-$F321))</f>
        <v/>
      </c>
    </row>
    <row r="322">
      <c r="A322" s="22" t="n"/>
      <c r="B322" s="23" t="n"/>
      <c r="C322" s="23" t="n"/>
      <c r="D322" s="23" t="n"/>
      <c r="E322" s="23" t="n"/>
      <c r="F322" s="24" t="n"/>
      <c r="G322" s="24">
        <f>IF($A322="","",N(G321)+IF($B322="Incasso",$F322,-$F322))</f>
        <v/>
      </c>
    </row>
    <row r="323">
      <c r="A323" s="25" t="n"/>
      <c r="B323" s="11" t="n"/>
      <c r="C323" s="11" t="n"/>
      <c r="D323" s="11" t="n"/>
      <c r="E323" s="11" t="n"/>
      <c r="F323" s="16" t="n"/>
      <c r="G323" s="16">
        <f>IF($A323="","",N(G322)+IF($B323="Incasso",$F323,-$F323))</f>
        <v/>
      </c>
    </row>
    <row r="324">
      <c r="A324" s="22" t="n"/>
      <c r="B324" s="23" t="n"/>
      <c r="C324" s="23" t="n"/>
      <c r="D324" s="23" t="n"/>
      <c r="E324" s="23" t="n"/>
      <c r="F324" s="24" t="n"/>
      <c r="G324" s="24">
        <f>IF($A324="","",N(G323)+IF($B324="Incasso",$F324,-$F324))</f>
        <v/>
      </c>
    </row>
    <row r="325">
      <c r="A325" s="25" t="n"/>
      <c r="B325" s="11" t="n"/>
      <c r="C325" s="11" t="n"/>
      <c r="D325" s="11" t="n"/>
      <c r="E325" s="11" t="n"/>
      <c r="F325" s="16" t="n"/>
      <c r="G325" s="16">
        <f>IF($A325="","",N(G324)+IF($B325="Incasso",$F325,-$F325))</f>
        <v/>
      </c>
    </row>
    <row r="326">
      <c r="A326" s="22" t="n"/>
      <c r="B326" s="23" t="n"/>
      <c r="C326" s="23" t="n"/>
      <c r="D326" s="23" t="n"/>
      <c r="E326" s="23" t="n"/>
      <c r="F326" s="24" t="n"/>
      <c r="G326" s="24">
        <f>IF($A326="","",N(G325)+IF($B326="Incasso",$F326,-$F326))</f>
        <v/>
      </c>
    </row>
    <row r="327">
      <c r="A327" s="25" t="n"/>
      <c r="B327" s="11" t="n"/>
      <c r="C327" s="11" t="n"/>
      <c r="D327" s="11" t="n"/>
      <c r="E327" s="11" t="n"/>
      <c r="F327" s="16" t="n"/>
      <c r="G327" s="16">
        <f>IF($A327="","",N(G326)+IF($B327="Incasso",$F327,-$F327))</f>
        <v/>
      </c>
    </row>
    <row r="328">
      <c r="A328" s="22" t="n"/>
      <c r="B328" s="23" t="n"/>
      <c r="C328" s="23" t="n"/>
      <c r="D328" s="23" t="n"/>
      <c r="E328" s="23" t="n"/>
      <c r="F328" s="24" t="n"/>
      <c r="G328" s="24">
        <f>IF($A328="","",N(G327)+IF($B328="Incasso",$F328,-$F328))</f>
        <v/>
      </c>
    </row>
    <row r="329">
      <c r="A329" s="25" t="n"/>
      <c r="B329" s="11" t="n"/>
      <c r="C329" s="11" t="n"/>
      <c r="D329" s="11" t="n"/>
      <c r="E329" s="11" t="n"/>
      <c r="F329" s="16" t="n"/>
      <c r="G329" s="16">
        <f>IF($A329="","",N(G328)+IF($B329="Incasso",$F329,-$F329))</f>
        <v/>
      </c>
    </row>
    <row r="330">
      <c r="A330" s="22" t="n"/>
      <c r="B330" s="23" t="n"/>
      <c r="C330" s="23" t="n"/>
      <c r="D330" s="23" t="n"/>
      <c r="E330" s="23" t="n"/>
      <c r="F330" s="24" t="n"/>
      <c r="G330" s="24">
        <f>IF($A330="","",N(G329)+IF($B330="Incasso",$F330,-$F330))</f>
        <v/>
      </c>
    </row>
    <row r="331">
      <c r="A331" s="25" t="n"/>
      <c r="B331" s="11" t="n"/>
      <c r="C331" s="11" t="n"/>
      <c r="D331" s="11" t="n"/>
      <c r="E331" s="11" t="n"/>
      <c r="F331" s="16" t="n"/>
      <c r="G331" s="16">
        <f>IF($A331="","",N(G330)+IF($B331="Incasso",$F331,-$F331))</f>
        <v/>
      </c>
    </row>
    <row r="332">
      <c r="A332" s="22" t="n"/>
      <c r="B332" s="23" t="n"/>
      <c r="C332" s="23" t="n"/>
      <c r="D332" s="23" t="n"/>
      <c r="E332" s="23" t="n"/>
      <c r="F332" s="24" t="n"/>
      <c r="G332" s="24">
        <f>IF($A332="","",N(G331)+IF($B332="Incasso",$F332,-$F332))</f>
        <v/>
      </c>
    </row>
    <row r="333">
      <c r="A333" s="25" t="n"/>
      <c r="B333" s="11" t="n"/>
      <c r="C333" s="11" t="n"/>
      <c r="D333" s="11" t="n"/>
      <c r="E333" s="11" t="n"/>
      <c r="F333" s="16" t="n"/>
      <c r="G333" s="16">
        <f>IF($A333="","",N(G332)+IF($B333="Incasso",$F333,-$F333))</f>
        <v/>
      </c>
    </row>
    <row r="334">
      <c r="A334" s="22" t="n"/>
      <c r="B334" s="23" t="n"/>
      <c r="C334" s="23" t="n"/>
      <c r="D334" s="23" t="n"/>
      <c r="E334" s="23" t="n"/>
      <c r="F334" s="24" t="n"/>
      <c r="G334" s="24">
        <f>IF($A334="","",N(G333)+IF($B334="Incasso",$F334,-$F334))</f>
        <v/>
      </c>
    </row>
    <row r="335">
      <c r="A335" s="25" t="n"/>
      <c r="B335" s="11" t="n"/>
      <c r="C335" s="11" t="n"/>
      <c r="D335" s="11" t="n"/>
      <c r="E335" s="11" t="n"/>
      <c r="F335" s="16" t="n"/>
      <c r="G335" s="16">
        <f>IF($A335="","",N(G334)+IF($B335="Incasso",$F335,-$F335))</f>
        <v/>
      </c>
    </row>
    <row r="336">
      <c r="A336" s="22" t="n"/>
      <c r="B336" s="23" t="n"/>
      <c r="C336" s="23" t="n"/>
      <c r="D336" s="23" t="n"/>
      <c r="E336" s="23" t="n"/>
      <c r="F336" s="24" t="n"/>
      <c r="G336" s="24">
        <f>IF($A336="","",N(G335)+IF($B336="Incasso",$F336,-$F336))</f>
        <v/>
      </c>
    </row>
    <row r="337">
      <c r="A337" s="25" t="n"/>
      <c r="B337" s="11" t="n"/>
      <c r="C337" s="11" t="n"/>
      <c r="D337" s="11" t="n"/>
      <c r="E337" s="11" t="n"/>
      <c r="F337" s="16" t="n"/>
      <c r="G337" s="16">
        <f>IF($A337="","",N(G336)+IF($B337="Incasso",$F337,-$F337))</f>
        <v/>
      </c>
    </row>
    <row r="338">
      <c r="A338" s="22" t="n"/>
      <c r="B338" s="23" t="n"/>
      <c r="C338" s="23" t="n"/>
      <c r="D338" s="23" t="n"/>
      <c r="E338" s="23" t="n"/>
      <c r="F338" s="24" t="n"/>
      <c r="G338" s="24">
        <f>IF($A338="","",N(G337)+IF($B338="Incasso",$F338,-$F338))</f>
        <v/>
      </c>
    </row>
    <row r="339">
      <c r="A339" s="25" t="n"/>
      <c r="B339" s="11" t="n"/>
      <c r="C339" s="11" t="n"/>
      <c r="D339" s="11" t="n"/>
      <c r="E339" s="11" t="n"/>
      <c r="F339" s="16" t="n"/>
      <c r="G339" s="16">
        <f>IF($A339="","",N(G338)+IF($B339="Incasso",$F339,-$F339))</f>
        <v/>
      </c>
    </row>
    <row r="340">
      <c r="A340" s="22" t="n"/>
      <c r="B340" s="23" t="n"/>
      <c r="C340" s="23" t="n"/>
      <c r="D340" s="23" t="n"/>
      <c r="E340" s="23" t="n"/>
      <c r="F340" s="24" t="n"/>
      <c r="G340" s="24">
        <f>IF($A340="","",N(G339)+IF($B340="Incasso",$F340,-$F340))</f>
        <v/>
      </c>
    </row>
    <row r="341">
      <c r="A341" s="25" t="n"/>
      <c r="B341" s="11" t="n"/>
      <c r="C341" s="11" t="n"/>
      <c r="D341" s="11" t="n"/>
      <c r="E341" s="11" t="n"/>
      <c r="F341" s="16" t="n"/>
      <c r="G341" s="16">
        <f>IF($A341="","",N(G340)+IF($B341="Incasso",$F341,-$F341))</f>
        <v/>
      </c>
    </row>
    <row r="342">
      <c r="A342" s="22" t="n"/>
      <c r="B342" s="23" t="n"/>
      <c r="C342" s="23" t="n"/>
      <c r="D342" s="23" t="n"/>
      <c r="E342" s="23" t="n"/>
      <c r="F342" s="24" t="n"/>
      <c r="G342" s="24">
        <f>IF($A342="","",N(G341)+IF($B342="Incasso",$F342,-$F342))</f>
        <v/>
      </c>
    </row>
    <row r="343">
      <c r="A343" s="25" t="n"/>
      <c r="B343" s="11" t="n"/>
      <c r="C343" s="11" t="n"/>
      <c r="D343" s="11" t="n"/>
      <c r="E343" s="11" t="n"/>
      <c r="F343" s="16" t="n"/>
      <c r="G343" s="16">
        <f>IF($A343="","",N(G342)+IF($B343="Incasso",$F343,-$F343))</f>
        <v/>
      </c>
    </row>
    <row r="344">
      <c r="A344" s="22" t="n"/>
      <c r="B344" s="23" t="n"/>
      <c r="C344" s="23" t="n"/>
      <c r="D344" s="23" t="n"/>
      <c r="E344" s="23" t="n"/>
      <c r="F344" s="24" t="n"/>
      <c r="G344" s="24">
        <f>IF($A344="","",N(G343)+IF($B344="Incasso",$F344,-$F344))</f>
        <v/>
      </c>
    </row>
    <row r="345">
      <c r="A345" s="25" t="n"/>
      <c r="B345" s="11" t="n"/>
      <c r="C345" s="11" t="n"/>
      <c r="D345" s="11" t="n"/>
      <c r="E345" s="11" t="n"/>
      <c r="F345" s="16" t="n"/>
      <c r="G345" s="16">
        <f>IF($A345="","",N(G344)+IF($B345="Incasso",$F345,-$F345))</f>
        <v/>
      </c>
    </row>
    <row r="346">
      <c r="A346" s="22" t="n"/>
      <c r="B346" s="23" t="n"/>
      <c r="C346" s="23" t="n"/>
      <c r="D346" s="23" t="n"/>
      <c r="E346" s="23" t="n"/>
      <c r="F346" s="24" t="n"/>
      <c r="G346" s="24">
        <f>IF($A346="","",N(G345)+IF($B346="Incasso",$F346,-$F346))</f>
        <v/>
      </c>
    </row>
    <row r="347">
      <c r="A347" s="25" t="n"/>
      <c r="B347" s="11" t="n"/>
      <c r="C347" s="11" t="n"/>
      <c r="D347" s="11" t="n"/>
      <c r="E347" s="11" t="n"/>
      <c r="F347" s="16" t="n"/>
      <c r="G347" s="16">
        <f>IF($A347="","",N(G346)+IF($B347="Incasso",$F347,-$F347))</f>
        <v/>
      </c>
    </row>
    <row r="348">
      <c r="A348" s="22" t="n"/>
      <c r="B348" s="23" t="n"/>
      <c r="C348" s="23" t="n"/>
      <c r="D348" s="23" t="n"/>
      <c r="E348" s="23" t="n"/>
      <c r="F348" s="24" t="n"/>
      <c r="G348" s="24">
        <f>IF($A348="","",N(G347)+IF($B348="Incasso",$F348,-$F348))</f>
        <v/>
      </c>
    </row>
    <row r="349">
      <c r="A349" s="25" t="n"/>
      <c r="B349" s="11" t="n"/>
      <c r="C349" s="11" t="n"/>
      <c r="D349" s="11" t="n"/>
      <c r="E349" s="11" t="n"/>
      <c r="F349" s="16" t="n"/>
      <c r="G349" s="16">
        <f>IF($A349="","",N(G348)+IF($B349="Incasso",$F349,-$F349))</f>
        <v/>
      </c>
    </row>
    <row r="350">
      <c r="A350" s="22" t="n"/>
      <c r="B350" s="23" t="n"/>
      <c r="C350" s="23" t="n"/>
      <c r="D350" s="23" t="n"/>
      <c r="E350" s="23" t="n"/>
      <c r="F350" s="24" t="n"/>
      <c r="G350" s="24">
        <f>IF($A350="","",N(G349)+IF($B350="Incasso",$F350,-$F350))</f>
        <v/>
      </c>
    </row>
    <row r="351">
      <c r="A351" s="25" t="n"/>
      <c r="B351" s="11" t="n"/>
      <c r="C351" s="11" t="n"/>
      <c r="D351" s="11" t="n"/>
      <c r="E351" s="11" t="n"/>
      <c r="F351" s="16" t="n"/>
      <c r="G351" s="16">
        <f>IF($A351="","",N(G350)+IF($B351="Incasso",$F351,-$F351))</f>
        <v/>
      </c>
    </row>
    <row r="352">
      <c r="A352" s="22" t="n"/>
      <c r="B352" s="23" t="n"/>
      <c r="C352" s="23" t="n"/>
      <c r="D352" s="23" t="n"/>
      <c r="E352" s="23" t="n"/>
      <c r="F352" s="24" t="n"/>
      <c r="G352" s="24">
        <f>IF($A352="","",N(G351)+IF($B352="Incasso",$F352,-$F352))</f>
        <v/>
      </c>
    </row>
    <row r="353">
      <c r="A353" s="25" t="n"/>
      <c r="B353" s="11" t="n"/>
      <c r="C353" s="11" t="n"/>
      <c r="D353" s="11" t="n"/>
      <c r="E353" s="11" t="n"/>
      <c r="F353" s="16" t="n"/>
      <c r="G353" s="16">
        <f>IF($A353="","",N(G352)+IF($B353="Incasso",$F353,-$F353))</f>
        <v/>
      </c>
    </row>
    <row r="354">
      <c r="A354" s="22" t="n"/>
      <c r="B354" s="23" t="n"/>
      <c r="C354" s="23" t="n"/>
      <c r="D354" s="23" t="n"/>
      <c r="E354" s="23" t="n"/>
      <c r="F354" s="24" t="n"/>
      <c r="G354" s="24">
        <f>IF($A354="","",N(G353)+IF($B354="Incasso",$F354,-$F354))</f>
        <v/>
      </c>
    </row>
    <row r="355">
      <c r="A355" s="25" t="n"/>
      <c r="B355" s="11" t="n"/>
      <c r="C355" s="11" t="n"/>
      <c r="D355" s="11" t="n"/>
      <c r="E355" s="11" t="n"/>
      <c r="F355" s="16" t="n"/>
      <c r="G355" s="16">
        <f>IF($A355="","",N(G354)+IF($B355="Incasso",$F355,-$F355))</f>
        <v/>
      </c>
    </row>
    <row r="356">
      <c r="A356" s="22" t="n"/>
      <c r="B356" s="23" t="n"/>
      <c r="C356" s="23" t="n"/>
      <c r="D356" s="23" t="n"/>
      <c r="E356" s="23" t="n"/>
      <c r="F356" s="24" t="n"/>
      <c r="G356" s="24">
        <f>IF($A356="","",N(G355)+IF($B356="Incasso",$F356,-$F356))</f>
        <v/>
      </c>
    </row>
    <row r="357">
      <c r="A357" s="25" t="n"/>
      <c r="B357" s="11" t="n"/>
      <c r="C357" s="11" t="n"/>
      <c r="D357" s="11" t="n"/>
      <c r="E357" s="11" t="n"/>
      <c r="F357" s="16" t="n"/>
      <c r="G357" s="16">
        <f>IF($A357="","",N(G356)+IF($B357="Incasso",$F357,-$F357))</f>
        <v/>
      </c>
    </row>
    <row r="358">
      <c r="A358" s="22" t="n"/>
      <c r="B358" s="23" t="n"/>
      <c r="C358" s="23" t="n"/>
      <c r="D358" s="23" t="n"/>
      <c r="E358" s="23" t="n"/>
      <c r="F358" s="24" t="n"/>
      <c r="G358" s="24">
        <f>IF($A358="","",N(G357)+IF($B358="Incasso",$F358,-$F358))</f>
        <v/>
      </c>
    </row>
    <row r="359">
      <c r="A359" s="25" t="n"/>
      <c r="B359" s="11" t="n"/>
      <c r="C359" s="11" t="n"/>
      <c r="D359" s="11" t="n"/>
      <c r="E359" s="11" t="n"/>
      <c r="F359" s="16" t="n"/>
      <c r="G359" s="16">
        <f>IF($A359="","",N(G358)+IF($B359="Incasso",$F359,-$F359))</f>
        <v/>
      </c>
    </row>
    <row r="360">
      <c r="A360" s="22" t="n"/>
      <c r="B360" s="23" t="n"/>
      <c r="C360" s="23" t="n"/>
      <c r="D360" s="23" t="n"/>
      <c r="E360" s="23" t="n"/>
      <c r="F360" s="24" t="n"/>
      <c r="G360" s="24">
        <f>IF($A360="","",N(G359)+IF($B360="Incasso",$F360,-$F360))</f>
        <v/>
      </c>
    </row>
    <row r="361">
      <c r="A361" s="25" t="n"/>
      <c r="B361" s="11" t="n"/>
      <c r="C361" s="11" t="n"/>
      <c r="D361" s="11" t="n"/>
      <c r="E361" s="11" t="n"/>
      <c r="F361" s="16" t="n"/>
      <c r="G361" s="16">
        <f>IF($A361="","",N(G360)+IF($B361="Incasso",$F361,-$F361))</f>
        <v/>
      </c>
    </row>
    <row r="362">
      <c r="A362" s="22" t="n"/>
      <c r="B362" s="23" t="n"/>
      <c r="C362" s="23" t="n"/>
      <c r="D362" s="23" t="n"/>
      <c r="E362" s="23" t="n"/>
      <c r="F362" s="24" t="n"/>
      <c r="G362" s="24">
        <f>IF($A362="","",N(G361)+IF($B362="Incasso",$F362,-$F362))</f>
        <v/>
      </c>
    </row>
    <row r="363">
      <c r="A363" s="25" t="n"/>
      <c r="B363" s="11" t="n"/>
      <c r="C363" s="11" t="n"/>
      <c r="D363" s="11" t="n"/>
      <c r="E363" s="11" t="n"/>
      <c r="F363" s="16" t="n"/>
      <c r="G363" s="16">
        <f>IF($A363="","",N(G362)+IF($B363="Incasso",$F363,-$F363))</f>
        <v/>
      </c>
    </row>
    <row r="364">
      <c r="A364" s="22" t="n"/>
      <c r="B364" s="23" t="n"/>
      <c r="C364" s="23" t="n"/>
      <c r="D364" s="23" t="n"/>
      <c r="E364" s="23" t="n"/>
      <c r="F364" s="24" t="n"/>
      <c r="G364" s="24">
        <f>IF($A364="","",N(G363)+IF($B364="Incasso",$F364,-$F364))</f>
        <v/>
      </c>
    </row>
    <row r="365">
      <c r="A365" s="25" t="n"/>
      <c r="B365" s="11" t="n"/>
      <c r="C365" s="11" t="n"/>
      <c r="D365" s="11" t="n"/>
      <c r="E365" s="11" t="n"/>
      <c r="F365" s="16" t="n"/>
      <c r="G365" s="16">
        <f>IF($A365="","",N(G364)+IF($B365="Incasso",$F365,-$F365))</f>
        <v/>
      </c>
    </row>
    <row r="366">
      <c r="A366" s="22" t="n"/>
      <c r="B366" s="23" t="n"/>
      <c r="C366" s="23" t="n"/>
      <c r="D366" s="23" t="n"/>
      <c r="E366" s="23" t="n"/>
      <c r="F366" s="24" t="n"/>
      <c r="G366" s="24">
        <f>IF($A366="","",N(G365)+IF($B366="Incasso",$F366,-$F366))</f>
        <v/>
      </c>
    </row>
    <row r="367">
      <c r="A367" s="25" t="n"/>
      <c r="B367" s="11" t="n"/>
      <c r="C367" s="11" t="n"/>
      <c r="D367" s="11" t="n"/>
      <c r="E367" s="11" t="n"/>
      <c r="F367" s="16" t="n"/>
      <c r="G367" s="16">
        <f>IF($A367="","",N(G366)+IF($B367="Incasso",$F367,-$F367))</f>
        <v/>
      </c>
    </row>
    <row r="368">
      <c r="A368" s="22" t="n"/>
      <c r="B368" s="23" t="n"/>
      <c r="C368" s="23" t="n"/>
      <c r="D368" s="23" t="n"/>
      <c r="E368" s="23" t="n"/>
      <c r="F368" s="24" t="n"/>
      <c r="G368" s="24">
        <f>IF($A368="","",N(G367)+IF($B368="Incasso",$F368,-$F368))</f>
        <v/>
      </c>
    </row>
    <row r="369">
      <c r="A369" s="25" t="n"/>
      <c r="B369" s="11" t="n"/>
      <c r="C369" s="11" t="n"/>
      <c r="D369" s="11" t="n"/>
      <c r="E369" s="11" t="n"/>
      <c r="F369" s="16" t="n"/>
      <c r="G369" s="16">
        <f>IF($A369="","",N(G368)+IF($B369="Incasso",$F369,-$F369))</f>
        <v/>
      </c>
    </row>
    <row r="370">
      <c r="A370" s="22" t="n"/>
      <c r="B370" s="23" t="n"/>
      <c r="C370" s="23" t="n"/>
      <c r="D370" s="23" t="n"/>
      <c r="E370" s="23" t="n"/>
      <c r="F370" s="24" t="n"/>
      <c r="G370" s="24">
        <f>IF($A370="","",N(G369)+IF($B370="Incasso",$F370,-$F370))</f>
        <v/>
      </c>
    </row>
    <row r="371">
      <c r="A371" s="25" t="n"/>
      <c r="B371" s="11" t="n"/>
      <c r="C371" s="11" t="n"/>
      <c r="D371" s="11" t="n"/>
      <c r="E371" s="11" t="n"/>
      <c r="F371" s="16" t="n"/>
      <c r="G371" s="16">
        <f>IF($A371="","",N(G370)+IF($B371="Incasso",$F371,-$F371))</f>
        <v/>
      </c>
    </row>
    <row r="372">
      <c r="A372" s="22" t="n"/>
      <c r="B372" s="23" t="n"/>
      <c r="C372" s="23" t="n"/>
      <c r="D372" s="23" t="n"/>
      <c r="E372" s="23" t="n"/>
      <c r="F372" s="24" t="n"/>
      <c r="G372" s="24">
        <f>IF($A372="","",N(G371)+IF($B372="Incasso",$F372,-$F372))</f>
        <v/>
      </c>
    </row>
    <row r="373">
      <c r="A373" s="25" t="n"/>
      <c r="B373" s="11" t="n"/>
      <c r="C373" s="11" t="n"/>
      <c r="D373" s="11" t="n"/>
      <c r="E373" s="11" t="n"/>
      <c r="F373" s="16" t="n"/>
      <c r="G373" s="16">
        <f>IF($A373="","",N(G372)+IF($B373="Incasso",$F373,-$F373))</f>
        <v/>
      </c>
    </row>
    <row r="374">
      <c r="A374" s="22" t="n"/>
      <c r="B374" s="23" t="n"/>
      <c r="C374" s="23" t="n"/>
      <c r="D374" s="23" t="n"/>
      <c r="E374" s="23" t="n"/>
      <c r="F374" s="24" t="n"/>
      <c r="G374" s="24">
        <f>IF($A374="","",N(G373)+IF($B374="Incasso",$F374,-$F374))</f>
        <v/>
      </c>
    </row>
    <row r="375">
      <c r="A375" s="25" t="n"/>
      <c r="B375" s="11" t="n"/>
      <c r="C375" s="11" t="n"/>
      <c r="D375" s="11" t="n"/>
      <c r="E375" s="11" t="n"/>
      <c r="F375" s="16" t="n"/>
      <c r="G375" s="16">
        <f>IF($A375="","",N(G374)+IF($B375="Incasso",$F375,-$F375))</f>
        <v/>
      </c>
    </row>
    <row r="376">
      <c r="A376" s="22" t="n"/>
      <c r="B376" s="23" t="n"/>
      <c r="C376" s="23" t="n"/>
      <c r="D376" s="23" t="n"/>
      <c r="E376" s="23" t="n"/>
      <c r="F376" s="24" t="n"/>
      <c r="G376" s="24">
        <f>IF($A376="","",N(G375)+IF($B376="Incasso",$F376,-$F376))</f>
        <v/>
      </c>
    </row>
    <row r="377">
      <c r="A377" s="25" t="n"/>
      <c r="B377" s="11" t="n"/>
      <c r="C377" s="11" t="n"/>
      <c r="D377" s="11" t="n"/>
      <c r="E377" s="11" t="n"/>
      <c r="F377" s="16" t="n"/>
      <c r="G377" s="16">
        <f>IF($A377="","",N(G376)+IF($B377="Incasso",$F377,-$F377))</f>
        <v/>
      </c>
    </row>
    <row r="378">
      <c r="A378" s="22" t="n"/>
      <c r="B378" s="23" t="n"/>
      <c r="C378" s="23" t="n"/>
      <c r="D378" s="23" t="n"/>
      <c r="E378" s="23" t="n"/>
      <c r="F378" s="24" t="n"/>
      <c r="G378" s="24">
        <f>IF($A378="","",N(G377)+IF($B378="Incasso",$F378,-$F378))</f>
        <v/>
      </c>
    </row>
    <row r="379">
      <c r="A379" s="25" t="n"/>
      <c r="B379" s="11" t="n"/>
      <c r="C379" s="11" t="n"/>
      <c r="D379" s="11" t="n"/>
      <c r="E379" s="11" t="n"/>
      <c r="F379" s="16" t="n"/>
      <c r="G379" s="16">
        <f>IF($A379="","",N(G378)+IF($B379="Incasso",$F379,-$F379))</f>
        <v/>
      </c>
    </row>
    <row r="380">
      <c r="A380" s="22" t="n"/>
      <c r="B380" s="23" t="n"/>
      <c r="C380" s="23" t="n"/>
      <c r="D380" s="23" t="n"/>
      <c r="E380" s="23" t="n"/>
      <c r="F380" s="24" t="n"/>
      <c r="G380" s="24">
        <f>IF($A380="","",N(G379)+IF($B380="Incasso",$F380,-$F380))</f>
        <v/>
      </c>
    </row>
    <row r="381">
      <c r="A381" s="25" t="n"/>
      <c r="B381" s="11" t="n"/>
      <c r="C381" s="11" t="n"/>
      <c r="D381" s="11" t="n"/>
      <c r="E381" s="11" t="n"/>
      <c r="F381" s="16" t="n"/>
      <c r="G381" s="16">
        <f>IF($A381="","",N(G380)+IF($B381="Incasso",$F381,-$F381))</f>
        <v/>
      </c>
    </row>
    <row r="382">
      <c r="A382" s="22" t="n"/>
      <c r="B382" s="23" t="n"/>
      <c r="C382" s="23" t="n"/>
      <c r="D382" s="23" t="n"/>
      <c r="E382" s="23" t="n"/>
      <c r="F382" s="24" t="n"/>
      <c r="G382" s="24">
        <f>IF($A382="","",N(G381)+IF($B382="Incasso",$F382,-$F382))</f>
        <v/>
      </c>
    </row>
    <row r="383">
      <c r="A383" s="25" t="n"/>
      <c r="B383" s="11" t="n"/>
      <c r="C383" s="11" t="n"/>
      <c r="D383" s="11" t="n"/>
      <c r="E383" s="11" t="n"/>
      <c r="F383" s="16" t="n"/>
      <c r="G383" s="16">
        <f>IF($A383="","",N(G382)+IF($B383="Incasso",$F383,-$F383))</f>
        <v/>
      </c>
    </row>
    <row r="384">
      <c r="A384" s="22" t="n"/>
      <c r="B384" s="23" t="n"/>
      <c r="C384" s="23" t="n"/>
      <c r="D384" s="23" t="n"/>
      <c r="E384" s="23" t="n"/>
      <c r="F384" s="24" t="n"/>
      <c r="G384" s="24">
        <f>IF($A384="","",N(G383)+IF($B384="Incasso",$F384,-$F384))</f>
        <v/>
      </c>
    </row>
    <row r="385">
      <c r="A385" s="25" t="n"/>
      <c r="B385" s="11" t="n"/>
      <c r="C385" s="11" t="n"/>
      <c r="D385" s="11" t="n"/>
      <c r="E385" s="11" t="n"/>
      <c r="F385" s="16" t="n"/>
      <c r="G385" s="16">
        <f>IF($A385="","",N(G384)+IF($B385="Incasso",$F385,-$F385))</f>
        <v/>
      </c>
    </row>
    <row r="386">
      <c r="A386" s="22" t="n"/>
      <c r="B386" s="23" t="n"/>
      <c r="C386" s="23" t="n"/>
      <c r="D386" s="23" t="n"/>
      <c r="E386" s="23" t="n"/>
      <c r="F386" s="24" t="n"/>
      <c r="G386" s="24">
        <f>IF($A386="","",N(G385)+IF($B386="Incasso",$F386,-$F386))</f>
        <v/>
      </c>
    </row>
    <row r="387">
      <c r="A387" s="25" t="n"/>
      <c r="B387" s="11" t="n"/>
      <c r="C387" s="11" t="n"/>
      <c r="D387" s="11" t="n"/>
      <c r="E387" s="11" t="n"/>
      <c r="F387" s="16" t="n"/>
      <c r="G387" s="16">
        <f>IF($A387="","",N(G386)+IF($B387="Incasso",$F387,-$F387))</f>
        <v/>
      </c>
    </row>
    <row r="388">
      <c r="A388" s="22" t="n"/>
      <c r="B388" s="23" t="n"/>
      <c r="C388" s="23" t="n"/>
      <c r="D388" s="23" t="n"/>
      <c r="E388" s="23" t="n"/>
      <c r="F388" s="24" t="n"/>
      <c r="G388" s="24">
        <f>IF($A388="","",N(G387)+IF($B388="Incasso",$F388,-$F388))</f>
        <v/>
      </c>
    </row>
    <row r="389">
      <c r="A389" s="25" t="n"/>
      <c r="B389" s="11" t="n"/>
      <c r="C389" s="11" t="n"/>
      <c r="D389" s="11" t="n"/>
      <c r="E389" s="11" t="n"/>
      <c r="F389" s="16" t="n"/>
      <c r="G389" s="16">
        <f>IF($A389="","",N(G388)+IF($B389="Incasso",$F389,-$F389))</f>
        <v/>
      </c>
    </row>
    <row r="390">
      <c r="A390" s="22" t="n"/>
      <c r="B390" s="23" t="n"/>
      <c r="C390" s="23" t="n"/>
      <c r="D390" s="23" t="n"/>
      <c r="E390" s="23" t="n"/>
      <c r="F390" s="24" t="n"/>
      <c r="G390" s="24">
        <f>IF($A390="","",N(G389)+IF($B390="Incasso",$F390,-$F390))</f>
        <v/>
      </c>
    </row>
    <row r="391">
      <c r="A391" s="25" t="n"/>
      <c r="B391" s="11" t="n"/>
      <c r="C391" s="11" t="n"/>
      <c r="D391" s="11" t="n"/>
      <c r="E391" s="11" t="n"/>
      <c r="F391" s="16" t="n"/>
      <c r="G391" s="16">
        <f>IF($A391="","",N(G390)+IF($B391="Incasso",$F391,-$F391))</f>
        <v/>
      </c>
    </row>
    <row r="392">
      <c r="A392" s="22" t="n"/>
      <c r="B392" s="23" t="n"/>
      <c r="C392" s="23" t="n"/>
      <c r="D392" s="23" t="n"/>
      <c r="E392" s="23" t="n"/>
      <c r="F392" s="24" t="n"/>
      <c r="G392" s="24">
        <f>IF($A392="","",N(G391)+IF($B392="Incasso",$F392,-$F392))</f>
        <v/>
      </c>
    </row>
    <row r="393">
      <c r="A393" s="25" t="n"/>
      <c r="B393" s="11" t="n"/>
      <c r="C393" s="11" t="n"/>
      <c r="D393" s="11" t="n"/>
      <c r="E393" s="11" t="n"/>
      <c r="F393" s="16" t="n"/>
      <c r="G393" s="16">
        <f>IF($A393="","",N(G392)+IF($B393="Incasso",$F393,-$F393))</f>
        <v/>
      </c>
    </row>
    <row r="394">
      <c r="A394" s="22" t="n"/>
      <c r="B394" s="23" t="n"/>
      <c r="C394" s="23" t="n"/>
      <c r="D394" s="23" t="n"/>
      <c r="E394" s="23" t="n"/>
      <c r="F394" s="24" t="n"/>
      <c r="G394" s="24">
        <f>IF($A394="","",N(G393)+IF($B394="Incasso",$F394,-$F394))</f>
        <v/>
      </c>
    </row>
    <row r="395">
      <c r="A395" s="25" t="n"/>
      <c r="B395" s="11" t="n"/>
      <c r="C395" s="11" t="n"/>
      <c r="D395" s="11" t="n"/>
      <c r="E395" s="11" t="n"/>
      <c r="F395" s="16" t="n"/>
      <c r="G395" s="16">
        <f>IF($A395="","",N(G394)+IF($B395="Incasso",$F395,-$F395))</f>
        <v/>
      </c>
    </row>
    <row r="396">
      <c r="A396" s="22" t="n"/>
      <c r="B396" s="23" t="n"/>
      <c r="C396" s="23" t="n"/>
      <c r="D396" s="23" t="n"/>
      <c r="E396" s="23" t="n"/>
      <c r="F396" s="24" t="n"/>
      <c r="G396" s="24">
        <f>IF($A396="","",N(G395)+IF($B396="Incasso",$F396,-$F396))</f>
        <v/>
      </c>
    </row>
    <row r="397">
      <c r="A397" s="25" t="n"/>
      <c r="B397" s="11" t="n"/>
      <c r="C397" s="11" t="n"/>
      <c r="D397" s="11" t="n"/>
      <c r="E397" s="11" t="n"/>
      <c r="F397" s="16" t="n"/>
      <c r="G397" s="16">
        <f>IF($A397="","",N(G396)+IF($B397="Incasso",$F397,-$F397))</f>
        <v/>
      </c>
    </row>
    <row r="398">
      <c r="A398" s="22" t="n"/>
      <c r="B398" s="23" t="n"/>
      <c r="C398" s="23" t="n"/>
      <c r="D398" s="23" t="n"/>
      <c r="E398" s="23" t="n"/>
      <c r="F398" s="24" t="n"/>
      <c r="G398" s="24">
        <f>IF($A398="","",N(G397)+IF($B398="Incasso",$F398,-$F398))</f>
        <v/>
      </c>
    </row>
    <row r="399">
      <c r="A399" s="25" t="n"/>
      <c r="B399" s="11" t="n"/>
      <c r="C399" s="11" t="n"/>
      <c r="D399" s="11" t="n"/>
      <c r="E399" s="11" t="n"/>
      <c r="F399" s="16" t="n"/>
      <c r="G399" s="16">
        <f>IF($A399="","",N(G398)+IF($B399="Incasso",$F399,-$F399))</f>
        <v/>
      </c>
    </row>
    <row r="400">
      <c r="A400" s="22" t="n"/>
      <c r="B400" s="23" t="n"/>
      <c r="C400" s="23" t="n"/>
      <c r="D400" s="23" t="n"/>
      <c r="E400" s="23" t="n"/>
      <c r="F400" s="24" t="n"/>
      <c r="G400" s="24">
        <f>IF($A400="","",N(G399)+IF($B400="Incasso",$F400,-$F400))</f>
        <v/>
      </c>
    </row>
    <row r="401">
      <c r="A401" s="25" t="n"/>
      <c r="B401" s="11" t="n"/>
      <c r="C401" s="11" t="n"/>
      <c r="D401" s="11" t="n"/>
      <c r="E401" s="11" t="n"/>
      <c r="F401" s="16" t="n"/>
      <c r="G401" s="16">
        <f>IF($A401="","",N(G400)+IF($B401="Incasso",$F401,-$F401))</f>
        <v/>
      </c>
    </row>
    <row r="402">
      <c r="A402" s="22" t="n"/>
      <c r="B402" s="23" t="n"/>
      <c r="C402" s="23" t="n"/>
      <c r="D402" s="23" t="n"/>
      <c r="E402" s="23" t="n"/>
      <c r="F402" s="24" t="n"/>
      <c r="G402" s="24">
        <f>IF($A402="","",N(G401)+IF($B402="Incasso",$F402,-$F402))</f>
        <v/>
      </c>
    </row>
    <row r="403">
      <c r="A403" s="25" t="n"/>
      <c r="B403" s="11" t="n"/>
      <c r="C403" s="11" t="n"/>
      <c r="D403" s="11" t="n"/>
      <c r="E403" s="11" t="n"/>
      <c r="F403" s="16" t="n"/>
      <c r="G403" s="16">
        <f>IF($A403="","",N(G402)+IF($B403="Incasso",$F403,-$F403))</f>
        <v/>
      </c>
    </row>
    <row r="404">
      <c r="A404" s="22" t="n"/>
      <c r="B404" s="23" t="n"/>
      <c r="C404" s="23" t="n"/>
      <c r="D404" s="23" t="n"/>
      <c r="E404" s="23" t="n"/>
      <c r="F404" s="24" t="n"/>
      <c r="G404" s="24">
        <f>IF($A404="","",N(G403)+IF($B404="Incasso",$F404,-$F404))</f>
        <v/>
      </c>
    </row>
    <row r="405">
      <c r="A405" s="25" t="n"/>
      <c r="B405" s="11" t="n"/>
      <c r="C405" s="11" t="n"/>
      <c r="D405" s="11" t="n"/>
      <c r="E405" s="11" t="n"/>
      <c r="F405" s="16" t="n"/>
      <c r="G405" s="16">
        <f>IF($A405="","",N(G404)+IF($B405="Incasso",$F405,-$F405))</f>
        <v/>
      </c>
    </row>
    <row r="406">
      <c r="A406" s="22" t="n"/>
      <c r="B406" s="23" t="n"/>
      <c r="C406" s="23" t="n"/>
      <c r="D406" s="23" t="n"/>
      <c r="E406" s="23" t="n"/>
      <c r="F406" s="24" t="n"/>
      <c r="G406" s="24">
        <f>IF($A406="","",N(G405)+IF($B406="Incasso",$F406,-$F406))</f>
        <v/>
      </c>
    </row>
    <row r="407">
      <c r="A407" s="25" t="n"/>
      <c r="B407" s="11" t="n"/>
      <c r="C407" s="11" t="n"/>
      <c r="D407" s="11" t="n"/>
      <c r="E407" s="11" t="n"/>
      <c r="F407" s="16" t="n"/>
      <c r="G407" s="16">
        <f>IF($A407="","",N(G406)+IF($B407="Incasso",$F407,-$F407))</f>
        <v/>
      </c>
    </row>
    <row r="408">
      <c r="A408" s="22" t="n"/>
      <c r="B408" s="23" t="n"/>
      <c r="C408" s="23" t="n"/>
      <c r="D408" s="23" t="n"/>
      <c r="E408" s="23" t="n"/>
      <c r="F408" s="24" t="n"/>
      <c r="G408" s="24">
        <f>IF($A408="","",N(G407)+IF($B408="Incasso",$F408,-$F408))</f>
        <v/>
      </c>
    </row>
    <row r="409">
      <c r="A409" s="25" t="n"/>
      <c r="B409" s="11" t="n"/>
      <c r="C409" s="11" t="n"/>
      <c r="D409" s="11" t="n"/>
      <c r="E409" s="11" t="n"/>
      <c r="F409" s="16" t="n"/>
      <c r="G409" s="16">
        <f>IF($A409="","",N(G408)+IF($B409="Incasso",$F409,-$F409))</f>
        <v/>
      </c>
    </row>
    <row r="410">
      <c r="A410" s="22" t="n"/>
      <c r="B410" s="23" t="n"/>
      <c r="C410" s="23" t="n"/>
      <c r="D410" s="23" t="n"/>
      <c r="E410" s="23" t="n"/>
      <c r="F410" s="24" t="n"/>
      <c r="G410" s="24">
        <f>IF($A410="","",N(G409)+IF($B410="Incasso",$F410,-$F410))</f>
        <v/>
      </c>
    </row>
    <row r="411">
      <c r="A411" s="25" t="n"/>
      <c r="B411" s="11" t="n"/>
      <c r="C411" s="11" t="n"/>
      <c r="D411" s="11" t="n"/>
      <c r="E411" s="11" t="n"/>
      <c r="F411" s="16" t="n"/>
      <c r="G411" s="16">
        <f>IF($A411="","",N(G410)+IF($B411="Incasso",$F411,-$F411))</f>
        <v/>
      </c>
    </row>
    <row r="412">
      <c r="A412" s="22" t="n"/>
      <c r="B412" s="23" t="n"/>
      <c r="C412" s="23" t="n"/>
      <c r="D412" s="23" t="n"/>
      <c r="E412" s="23" t="n"/>
      <c r="F412" s="24" t="n"/>
      <c r="G412" s="24">
        <f>IF($A412="","",N(G411)+IF($B412="Incasso",$F412,-$F412))</f>
        <v/>
      </c>
    </row>
    <row r="413">
      <c r="A413" s="25" t="n"/>
      <c r="B413" s="11" t="n"/>
      <c r="C413" s="11" t="n"/>
      <c r="D413" s="11" t="n"/>
      <c r="E413" s="11" t="n"/>
      <c r="F413" s="16" t="n"/>
      <c r="G413" s="16">
        <f>IF($A413="","",N(G412)+IF($B413="Incasso",$F413,-$F413))</f>
        <v/>
      </c>
    </row>
    <row r="414">
      <c r="A414" s="22" t="n"/>
      <c r="B414" s="23" t="n"/>
      <c r="C414" s="23" t="n"/>
      <c r="D414" s="23" t="n"/>
      <c r="E414" s="23" t="n"/>
      <c r="F414" s="24" t="n"/>
      <c r="G414" s="24">
        <f>IF($A414="","",N(G413)+IF($B414="Incasso",$F414,-$F414))</f>
        <v/>
      </c>
    </row>
    <row r="415">
      <c r="A415" s="25" t="n"/>
      <c r="B415" s="11" t="n"/>
      <c r="C415" s="11" t="n"/>
      <c r="D415" s="11" t="n"/>
      <c r="E415" s="11" t="n"/>
      <c r="F415" s="16" t="n"/>
      <c r="G415" s="16">
        <f>IF($A415="","",N(G414)+IF($B415="Incasso",$F415,-$F415))</f>
        <v/>
      </c>
    </row>
    <row r="416">
      <c r="A416" s="22" t="n"/>
      <c r="B416" s="23" t="n"/>
      <c r="C416" s="23" t="n"/>
      <c r="D416" s="23" t="n"/>
      <c r="E416" s="23" t="n"/>
      <c r="F416" s="24" t="n"/>
      <c r="G416" s="24">
        <f>IF($A416="","",N(G415)+IF($B416="Incasso",$F416,-$F416))</f>
        <v/>
      </c>
    </row>
    <row r="417">
      <c r="A417" s="25" t="n"/>
      <c r="B417" s="11" t="n"/>
      <c r="C417" s="11" t="n"/>
      <c r="D417" s="11" t="n"/>
      <c r="E417" s="11" t="n"/>
      <c r="F417" s="16" t="n"/>
      <c r="G417" s="16">
        <f>IF($A417="","",N(G416)+IF($B417="Incasso",$F417,-$F417))</f>
        <v/>
      </c>
    </row>
    <row r="418">
      <c r="A418" s="22" t="n"/>
      <c r="B418" s="23" t="n"/>
      <c r="C418" s="23" t="n"/>
      <c r="D418" s="23" t="n"/>
      <c r="E418" s="23" t="n"/>
      <c r="F418" s="24" t="n"/>
      <c r="G418" s="24">
        <f>IF($A418="","",N(G417)+IF($B418="Incasso",$F418,-$F418))</f>
        <v/>
      </c>
    </row>
    <row r="419">
      <c r="A419" s="25" t="n"/>
      <c r="B419" s="11" t="n"/>
      <c r="C419" s="11" t="n"/>
      <c r="D419" s="11" t="n"/>
      <c r="E419" s="11" t="n"/>
      <c r="F419" s="16" t="n"/>
      <c r="G419" s="16">
        <f>IF($A419="","",N(G418)+IF($B419="Incasso",$F419,-$F419))</f>
        <v/>
      </c>
    </row>
    <row r="420">
      <c r="A420" s="22" t="n"/>
      <c r="B420" s="23" t="n"/>
      <c r="C420" s="23" t="n"/>
      <c r="D420" s="23" t="n"/>
      <c r="E420" s="23" t="n"/>
      <c r="F420" s="24" t="n"/>
      <c r="G420" s="24">
        <f>IF($A420="","",N(G419)+IF($B420="Incasso",$F420,-$F420))</f>
        <v/>
      </c>
    </row>
    <row r="421">
      <c r="A421" s="25" t="n"/>
      <c r="B421" s="11" t="n"/>
      <c r="C421" s="11" t="n"/>
      <c r="D421" s="11" t="n"/>
      <c r="E421" s="11" t="n"/>
      <c r="F421" s="16" t="n"/>
      <c r="G421" s="16">
        <f>IF($A421="","",N(G420)+IF($B421="Incasso",$F421,-$F421))</f>
        <v/>
      </c>
    </row>
    <row r="422">
      <c r="A422" s="22" t="n"/>
      <c r="B422" s="23" t="n"/>
      <c r="C422" s="23" t="n"/>
      <c r="D422" s="23" t="n"/>
      <c r="E422" s="23" t="n"/>
      <c r="F422" s="24" t="n"/>
      <c r="G422" s="24">
        <f>IF($A422="","",N(G421)+IF($B422="Incasso",$F422,-$F422))</f>
        <v/>
      </c>
    </row>
    <row r="423">
      <c r="A423" s="25" t="n"/>
      <c r="B423" s="11" t="n"/>
      <c r="C423" s="11" t="n"/>
      <c r="D423" s="11" t="n"/>
      <c r="E423" s="11" t="n"/>
      <c r="F423" s="16" t="n"/>
      <c r="G423" s="16">
        <f>IF($A423="","",N(G422)+IF($B423="Incasso",$F423,-$F423))</f>
        <v/>
      </c>
    </row>
    <row r="424">
      <c r="A424" s="22" t="n"/>
      <c r="B424" s="23" t="n"/>
      <c r="C424" s="23" t="n"/>
      <c r="D424" s="23" t="n"/>
      <c r="E424" s="23" t="n"/>
      <c r="F424" s="24" t="n"/>
      <c r="G424" s="24">
        <f>IF($A424="","",N(G423)+IF($B424="Incasso",$F424,-$F424))</f>
        <v/>
      </c>
    </row>
    <row r="425">
      <c r="A425" s="25" t="n"/>
      <c r="B425" s="11" t="n"/>
      <c r="C425" s="11" t="n"/>
      <c r="D425" s="11" t="n"/>
      <c r="E425" s="11" t="n"/>
      <c r="F425" s="16" t="n"/>
      <c r="G425" s="16">
        <f>IF($A425="","",N(G424)+IF($B425="Incasso",$F425,-$F425))</f>
        <v/>
      </c>
    </row>
    <row r="426">
      <c r="A426" s="22" t="n"/>
      <c r="B426" s="23" t="n"/>
      <c r="C426" s="23" t="n"/>
      <c r="D426" s="23" t="n"/>
      <c r="E426" s="23" t="n"/>
      <c r="F426" s="24" t="n"/>
      <c r="G426" s="24">
        <f>IF($A426="","",N(G425)+IF($B426="Incasso",$F426,-$F426))</f>
        <v/>
      </c>
    </row>
    <row r="427">
      <c r="A427" s="25" t="n"/>
      <c r="B427" s="11" t="n"/>
      <c r="C427" s="11" t="n"/>
      <c r="D427" s="11" t="n"/>
      <c r="E427" s="11" t="n"/>
      <c r="F427" s="16" t="n"/>
      <c r="G427" s="16">
        <f>IF($A427="","",N(G426)+IF($B427="Incasso",$F427,-$F427))</f>
        <v/>
      </c>
    </row>
    <row r="428">
      <c r="A428" s="22" t="n"/>
      <c r="B428" s="23" t="n"/>
      <c r="C428" s="23" t="n"/>
      <c r="D428" s="23" t="n"/>
      <c r="E428" s="23" t="n"/>
      <c r="F428" s="24" t="n"/>
      <c r="G428" s="24">
        <f>IF($A428="","",N(G427)+IF($B428="Incasso",$F428,-$F428))</f>
        <v/>
      </c>
    </row>
    <row r="429">
      <c r="A429" s="25" t="n"/>
      <c r="B429" s="11" t="n"/>
      <c r="C429" s="11" t="n"/>
      <c r="D429" s="11" t="n"/>
      <c r="E429" s="11" t="n"/>
      <c r="F429" s="16" t="n"/>
      <c r="G429" s="16">
        <f>IF($A429="","",N(G428)+IF($B429="Incasso",$F429,-$F429))</f>
        <v/>
      </c>
    </row>
    <row r="430">
      <c r="A430" s="22" t="n"/>
      <c r="B430" s="23" t="n"/>
      <c r="C430" s="23" t="n"/>
      <c r="D430" s="23" t="n"/>
      <c r="E430" s="23" t="n"/>
      <c r="F430" s="24" t="n"/>
      <c r="G430" s="24">
        <f>IF($A430="","",N(G429)+IF($B430="Incasso",$F430,-$F430))</f>
        <v/>
      </c>
    </row>
    <row r="431">
      <c r="A431" s="25" t="n"/>
      <c r="B431" s="11" t="n"/>
      <c r="C431" s="11" t="n"/>
      <c r="D431" s="11" t="n"/>
      <c r="E431" s="11" t="n"/>
      <c r="F431" s="16" t="n"/>
      <c r="G431" s="16">
        <f>IF($A431="","",N(G430)+IF($B431="Incasso",$F431,-$F431))</f>
        <v/>
      </c>
    </row>
    <row r="432">
      <c r="A432" s="22" t="n"/>
      <c r="B432" s="23" t="n"/>
      <c r="C432" s="23" t="n"/>
      <c r="D432" s="23" t="n"/>
      <c r="E432" s="23" t="n"/>
      <c r="F432" s="24" t="n"/>
      <c r="G432" s="24">
        <f>IF($A432="","",N(G431)+IF($B432="Incasso",$F432,-$F432))</f>
        <v/>
      </c>
    </row>
    <row r="433">
      <c r="A433" s="25" t="n"/>
      <c r="B433" s="11" t="n"/>
      <c r="C433" s="11" t="n"/>
      <c r="D433" s="11" t="n"/>
      <c r="E433" s="11" t="n"/>
      <c r="F433" s="16" t="n"/>
      <c r="G433" s="16">
        <f>IF($A433="","",N(G432)+IF($B433="Incasso",$F433,-$F433))</f>
        <v/>
      </c>
    </row>
    <row r="434">
      <c r="A434" s="22" t="n"/>
      <c r="B434" s="23" t="n"/>
      <c r="C434" s="23" t="n"/>
      <c r="D434" s="23" t="n"/>
      <c r="E434" s="23" t="n"/>
      <c r="F434" s="24" t="n"/>
      <c r="G434" s="24">
        <f>IF($A434="","",N(G433)+IF($B434="Incasso",$F434,-$F434))</f>
        <v/>
      </c>
    </row>
    <row r="435">
      <c r="A435" s="25" t="n"/>
      <c r="B435" s="11" t="n"/>
      <c r="C435" s="11" t="n"/>
      <c r="D435" s="11" t="n"/>
      <c r="E435" s="11" t="n"/>
      <c r="F435" s="16" t="n"/>
      <c r="G435" s="16">
        <f>IF($A435="","",N(G434)+IF($B435="Incasso",$F435,-$F435))</f>
        <v/>
      </c>
    </row>
    <row r="436">
      <c r="A436" s="22" t="n"/>
      <c r="B436" s="23" t="n"/>
      <c r="C436" s="23" t="n"/>
      <c r="D436" s="23" t="n"/>
      <c r="E436" s="23" t="n"/>
      <c r="F436" s="24" t="n"/>
      <c r="G436" s="24">
        <f>IF($A436="","",N(G435)+IF($B436="Incasso",$F436,-$F436))</f>
        <v/>
      </c>
    </row>
    <row r="437">
      <c r="A437" s="25" t="n"/>
      <c r="B437" s="11" t="n"/>
      <c r="C437" s="11" t="n"/>
      <c r="D437" s="11" t="n"/>
      <c r="E437" s="11" t="n"/>
      <c r="F437" s="16" t="n"/>
      <c r="G437" s="16">
        <f>IF($A437="","",N(G436)+IF($B437="Incasso",$F437,-$F437))</f>
        <v/>
      </c>
    </row>
    <row r="438">
      <c r="A438" s="22" t="n"/>
      <c r="B438" s="23" t="n"/>
      <c r="C438" s="23" t="n"/>
      <c r="D438" s="23" t="n"/>
      <c r="E438" s="23" t="n"/>
      <c r="F438" s="24" t="n"/>
      <c r="G438" s="24">
        <f>IF($A438="","",N(G437)+IF($B438="Incasso",$F438,-$F438))</f>
        <v/>
      </c>
    </row>
    <row r="439">
      <c r="A439" s="25" t="n"/>
      <c r="B439" s="11" t="n"/>
      <c r="C439" s="11" t="n"/>
      <c r="D439" s="11" t="n"/>
      <c r="E439" s="11" t="n"/>
      <c r="F439" s="16" t="n"/>
      <c r="G439" s="16">
        <f>IF($A439="","",N(G438)+IF($B439="Incasso",$F439,-$F439))</f>
        <v/>
      </c>
    </row>
    <row r="440">
      <c r="A440" s="22" t="n"/>
      <c r="B440" s="23" t="n"/>
      <c r="C440" s="23" t="n"/>
      <c r="D440" s="23" t="n"/>
      <c r="E440" s="23" t="n"/>
      <c r="F440" s="24" t="n"/>
      <c r="G440" s="24">
        <f>IF($A440="","",N(G439)+IF($B440="Incasso",$F440,-$F440))</f>
        <v/>
      </c>
    </row>
    <row r="441">
      <c r="A441" s="25" t="n"/>
      <c r="B441" s="11" t="n"/>
      <c r="C441" s="11" t="n"/>
      <c r="D441" s="11" t="n"/>
      <c r="E441" s="11" t="n"/>
      <c r="F441" s="16" t="n"/>
      <c r="G441" s="16">
        <f>IF($A441="","",N(G440)+IF($B441="Incasso",$F441,-$F441))</f>
        <v/>
      </c>
    </row>
    <row r="442">
      <c r="A442" s="22" t="n"/>
      <c r="B442" s="23" t="n"/>
      <c r="C442" s="23" t="n"/>
      <c r="D442" s="23" t="n"/>
      <c r="E442" s="23" t="n"/>
      <c r="F442" s="24" t="n"/>
      <c r="G442" s="24">
        <f>IF($A442="","",N(G441)+IF($B442="Incasso",$F442,-$F442))</f>
        <v/>
      </c>
    </row>
    <row r="443">
      <c r="A443" s="25" t="n"/>
      <c r="B443" s="11" t="n"/>
      <c r="C443" s="11" t="n"/>
      <c r="D443" s="11" t="n"/>
      <c r="E443" s="11" t="n"/>
      <c r="F443" s="16" t="n"/>
      <c r="G443" s="16">
        <f>IF($A443="","",N(G442)+IF($B443="Incasso",$F443,-$F443))</f>
        <v/>
      </c>
    </row>
    <row r="444">
      <c r="A444" s="22" t="n"/>
      <c r="B444" s="23" t="n"/>
      <c r="C444" s="23" t="n"/>
      <c r="D444" s="23" t="n"/>
      <c r="E444" s="23" t="n"/>
      <c r="F444" s="24" t="n"/>
      <c r="G444" s="24">
        <f>IF($A444="","",N(G443)+IF($B444="Incasso",$F444,-$F444))</f>
        <v/>
      </c>
    </row>
    <row r="445">
      <c r="A445" s="25" t="n"/>
      <c r="B445" s="11" t="n"/>
      <c r="C445" s="11" t="n"/>
      <c r="D445" s="11" t="n"/>
      <c r="E445" s="11" t="n"/>
      <c r="F445" s="16" t="n"/>
      <c r="G445" s="16">
        <f>IF($A445="","",N(G444)+IF($B445="Incasso",$F445,-$F445))</f>
        <v/>
      </c>
    </row>
    <row r="446">
      <c r="A446" s="22" t="n"/>
      <c r="B446" s="23" t="n"/>
      <c r="C446" s="23" t="n"/>
      <c r="D446" s="23" t="n"/>
      <c r="E446" s="23" t="n"/>
      <c r="F446" s="24" t="n"/>
      <c r="G446" s="24">
        <f>IF($A446="","",N(G445)+IF($B446="Incasso",$F446,-$F446))</f>
        <v/>
      </c>
    </row>
    <row r="447">
      <c r="A447" s="25" t="n"/>
      <c r="B447" s="11" t="n"/>
      <c r="C447" s="11" t="n"/>
      <c r="D447" s="11" t="n"/>
      <c r="E447" s="11" t="n"/>
      <c r="F447" s="16" t="n"/>
      <c r="G447" s="16">
        <f>IF($A447="","",N(G446)+IF($B447="Incasso",$F447,-$F447))</f>
        <v/>
      </c>
    </row>
    <row r="448">
      <c r="A448" s="22" t="n"/>
      <c r="B448" s="23" t="n"/>
      <c r="C448" s="23" t="n"/>
      <c r="D448" s="23" t="n"/>
      <c r="E448" s="23" t="n"/>
      <c r="F448" s="24" t="n"/>
      <c r="G448" s="24">
        <f>IF($A448="","",N(G447)+IF($B448="Incasso",$F448,-$F448))</f>
        <v/>
      </c>
    </row>
    <row r="449">
      <c r="A449" s="25" t="n"/>
      <c r="B449" s="11" t="n"/>
      <c r="C449" s="11" t="n"/>
      <c r="D449" s="11" t="n"/>
      <c r="E449" s="11" t="n"/>
      <c r="F449" s="16" t="n"/>
      <c r="G449" s="16">
        <f>IF($A449="","",N(G448)+IF($B449="Incasso",$F449,-$F449))</f>
        <v/>
      </c>
    </row>
    <row r="450">
      <c r="A450" s="22" t="n"/>
      <c r="B450" s="23" t="n"/>
      <c r="C450" s="23" t="n"/>
      <c r="D450" s="23" t="n"/>
      <c r="E450" s="23" t="n"/>
      <c r="F450" s="24" t="n"/>
      <c r="G450" s="24">
        <f>IF($A450="","",N(G449)+IF($B450="Incasso",$F450,-$F450))</f>
        <v/>
      </c>
    </row>
    <row r="451">
      <c r="A451" s="25" t="n"/>
      <c r="B451" s="11" t="n"/>
      <c r="C451" s="11" t="n"/>
      <c r="D451" s="11" t="n"/>
      <c r="E451" s="11" t="n"/>
      <c r="F451" s="16" t="n"/>
      <c r="G451" s="16">
        <f>IF($A451="","",N(G450)+IF($B451="Incasso",$F451,-$F451))</f>
        <v/>
      </c>
    </row>
    <row r="452">
      <c r="A452" s="22" t="n"/>
      <c r="B452" s="23" t="n"/>
      <c r="C452" s="23" t="n"/>
      <c r="D452" s="23" t="n"/>
      <c r="E452" s="23" t="n"/>
      <c r="F452" s="24" t="n"/>
      <c r="G452" s="24">
        <f>IF($A452="","",N(G451)+IF($B452="Incasso",$F452,-$F452))</f>
        <v/>
      </c>
    </row>
    <row r="453">
      <c r="A453" s="25" t="n"/>
      <c r="B453" s="11" t="n"/>
      <c r="C453" s="11" t="n"/>
      <c r="D453" s="11" t="n"/>
      <c r="E453" s="11" t="n"/>
      <c r="F453" s="16" t="n"/>
      <c r="G453" s="16">
        <f>IF($A453="","",N(G452)+IF($B453="Incasso",$F453,-$F453))</f>
        <v/>
      </c>
    </row>
    <row r="454">
      <c r="A454" s="22" t="n"/>
      <c r="B454" s="23" t="n"/>
      <c r="C454" s="23" t="n"/>
      <c r="D454" s="23" t="n"/>
      <c r="E454" s="23" t="n"/>
      <c r="F454" s="24" t="n"/>
      <c r="G454" s="24">
        <f>IF($A454="","",N(G453)+IF($B454="Incasso",$F454,-$F454))</f>
        <v/>
      </c>
    </row>
    <row r="455">
      <c r="A455" s="25" t="n"/>
      <c r="B455" s="11" t="n"/>
      <c r="C455" s="11" t="n"/>
      <c r="D455" s="11" t="n"/>
      <c r="E455" s="11" t="n"/>
      <c r="F455" s="16" t="n"/>
      <c r="G455" s="16">
        <f>IF($A455="","",N(G454)+IF($B455="Incasso",$F455,-$F455))</f>
        <v/>
      </c>
    </row>
    <row r="456">
      <c r="A456" s="22" t="n"/>
      <c r="B456" s="23" t="n"/>
      <c r="C456" s="23" t="n"/>
      <c r="D456" s="23" t="n"/>
      <c r="E456" s="23" t="n"/>
      <c r="F456" s="24" t="n"/>
      <c r="G456" s="24">
        <f>IF($A456="","",N(G455)+IF($B456="Incasso",$F456,-$F456))</f>
        <v/>
      </c>
    </row>
    <row r="457">
      <c r="A457" s="25" t="n"/>
      <c r="B457" s="11" t="n"/>
      <c r="C457" s="11" t="n"/>
      <c r="D457" s="11" t="n"/>
      <c r="E457" s="11" t="n"/>
      <c r="F457" s="16" t="n"/>
      <c r="G457" s="16">
        <f>IF($A457="","",N(G456)+IF($B457="Incasso",$F457,-$F457))</f>
        <v/>
      </c>
    </row>
    <row r="458">
      <c r="A458" s="22" t="n"/>
      <c r="B458" s="23" t="n"/>
      <c r="C458" s="23" t="n"/>
      <c r="D458" s="23" t="n"/>
      <c r="E458" s="23" t="n"/>
      <c r="F458" s="24" t="n"/>
      <c r="G458" s="24">
        <f>IF($A458="","",N(G457)+IF($B458="Incasso",$F458,-$F458))</f>
        <v/>
      </c>
    </row>
    <row r="459">
      <c r="A459" s="25" t="n"/>
      <c r="B459" s="11" t="n"/>
      <c r="C459" s="11" t="n"/>
      <c r="D459" s="11" t="n"/>
      <c r="E459" s="11" t="n"/>
      <c r="F459" s="16" t="n"/>
      <c r="G459" s="16">
        <f>IF($A459="","",N(G458)+IF($B459="Incasso",$F459,-$F459))</f>
        <v/>
      </c>
    </row>
    <row r="460">
      <c r="A460" s="22" t="n"/>
      <c r="B460" s="23" t="n"/>
      <c r="C460" s="23" t="n"/>
      <c r="D460" s="23" t="n"/>
      <c r="E460" s="23" t="n"/>
      <c r="F460" s="24" t="n"/>
      <c r="G460" s="24">
        <f>IF($A460="","",N(G459)+IF($B460="Incasso",$F460,-$F460))</f>
        <v/>
      </c>
    </row>
    <row r="461">
      <c r="A461" s="25" t="n"/>
      <c r="B461" s="11" t="n"/>
      <c r="C461" s="11" t="n"/>
      <c r="D461" s="11" t="n"/>
      <c r="E461" s="11" t="n"/>
      <c r="F461" s="16" t="n"/>
      <c r="G461" s="16">
        <f>IF($A461="","",N(G460)+IF($B461="Incasso",$F461,-$F461))</f>
        <v/>
      </c>
    </row>
    <row r="462">
      <c r="A462" s="22" t="n"/>
      <c r="B462" s="23" t="n"/>
      <c r="C462" s="23" t="n"/>
      <c r="D462" s="23" t="n"/>
      <c r="E462" s="23" t="n"/>
      <c r="F462" s="24" t="n"/>
      <c r="G462" s="24">
        <f>IF($A462="","",N(G461)+IF($B462="Incasso",$F462,-$F462))</f>
        <v/>
      </c>
    </row>
    <row r="463">
      <c r="A463" s="25" t="n"/>
      <c r="B463" s="11" t="n"/>
      <c r="C463" s="11" t="n"/>
      <c r="D463" s="11" t="n"/>
      <c r="E463" s="11" t="n"/>
      <c r="F463" s="16" t="n"/>
      <c r="G463" s="16">
        <f>IF($A463="","",N(G462)+IF($B463="Incasso",$F463,-$F463))</f>
        <v/>
      </c>
    </row>
    <row r="464">
      <c r="A464" s="22" t="n"/>
      <c r="B464" s="23" t="n"/>
      <c r="C464" s="23" t="n"/>
      <c r="D464" s="23" t="n"/>
      <c r="E464" s="23" t="n"/>
      <c r="F464" s="24" t="n"/>
      <c r="G464" s="24">
        <f>IF($A464="","",N(G463)+IF($B464="Incasso",$F464,-$F464))</f>
        <v/>
      </c>
    </row>
    <row r="465">
      <c r="A465" s="25" t="n"/>
      <c r="B465" s="11" t="n"/>
      <c r="C465" s="11" t="n"/>
      <c r="D465" s="11" t="n"/>
      <c r="E465" s="11" t="n"/>
      <c r="F465" s="16" t="n"/>
      <c r="G465" s="16">
        <f>IF($A465="","",N(G464)+IF($B465="Incasso",$F465,-$F465))</f>
        <v/>
      </c>
    </row>
    <row r="466">
      <c r="A466" s="22" t="n"/>
      <c r="B466" s="23" t="n"/>
      <c r="C466" s="23" t="n"/>
      <c r="D466" s="23" t="n"/>
      <c r="E466" s="23" t="n"/>
      <c r="F466" s="24" t="n"/>
      <c r="G466" s="24">
        <f>IF($A466="","",N(G465)+IF($B466="Incasso",$F466,-$F466))</f>
        <v/>
      </c>
    </row>
    <row r="467">
      <c r="A467" s="25" t="n"/>
      <c r="B467" s="11" t="n"/>
      <c r="C467" s="11" t="n"/>
      <c r="D467" s="11" t="n"/>
      <c r="E467" s="11" t="n"/>
      <c r="F467" s="16" t="n"/>
      <c r="G467" s="16">
        <f>IF($A467="","",N(G466)+IF($B467="Incasso",$F467,-$F467))</f>
        <v/>
      </c>
    </row>
    <row r="468">
      <c r="A468" s="22" t="n"/>
      <c r="B468" s="23" t="n"/>
      <c r="C468" s="23" t="n"/>
      <c r="D468" s="23" t="n"/>
      <c r="E468" s="23" t="n"/>
      <c r="F468" s="24" t="n"/>
      <c r="G468" s="24">
        <f>IF($A468="","",N(G467)+IF($B468="Incasso",$F468,-$F468))</f>
        <v/>
      </c>
    </row>
    <row r="469">
      <c r="A469" s="25" t="n"/>
      <c r="B469" s="11" t="n"/>
      <c r="C469" s="11" t="n"/>
      <c r="D469" s="11" t="n"/>
      <c r="E469" s="11" t="n"/>
      <c r="F469" s="16" t="n"/>
      <c r="G469" s="16">
        <f>IF($A469="","",N(G468)+IF($B469="Incasso",$F469,-$F469))</f>
        <v/>
      </c>
    </row>
    <row r="470">
      <c r="A470" s="22" t="n"/>
      <c r="B470" s="23" t="n"/>
      <c r="C470" s="23" t="n"/>
      <c r="D470" s="23" t="n"/>
      <c r="E470" s="23" t="n"/>
      <c r="F470" s="24" t="n"/>
      <c r="G470" s="24">
        <f>IF($A470="","",N(G469)+IF($B470="Incasso",$F470,-$F470))</f>
        <v/>
      </c>
    </row>
    <row r="471">
      <c r="A471" s="25" t="n"/>
      <c r="B471" s="11" t="n"/>
      <c r="C471" s="11" t="n"/>
      <c r="D471" s="11" t="n"/>
      <c r="E471" s="11" t="n"/>
      <c r="F471" s="16" t="n"/>
      <c r="G471" s="16">
        <f>IF($A471="","",N(G470)+IF($B471="Incasso",$F471,-$F471))</f>
        <v/>
      </c>
    </row>
    <row r="472">
      <c r="A472" s="22" t="n"/>
      <c r="B472" s="23" t="n"/>
      <c r="C472" s="23" t="n"/>
      <c r="D472" s="23" t="n"/>
      <c r="E472" s="23" t="n"/>
      <c r="F472" s="24" t="n"/>
      <c r="G472" s="24">
        <f>IF($A472="","",N(G471)+IF($B472="Incasso",$F472,-$F472))</f>
        <v/>
      </c>
    </row>
    <row r="473">
      <c r="A473" s="25" t="n"/>
      <c r="B473" s="11" t="n"/>
      <c r="C473" s="11" t="n"/>
      <c r="D473" s="11" t="n"/>
      <c r="E473" s="11" t="n"/>
      <c r="F473" s="16" t="n"/>
      <c r="G473" s="16">
        <f>IF($A473="","",N(G472)+IF($B473="Incasso",$F473,-$F473))</f>
        <v/>
      </c>
    </row>
    <row r="474">
      <c r="A474" s="22" t="n"/>
      <c r="B474" s="23" t="n"/>
      <c r="C474" s="23" t="n"/>
      <c r="D474" s="23" t="n"/>
      <c r="E474" s="23" t="n"/>
      <c r="F474" s="24" t="n"/>
      <c r="G474" s="24">
        <f>IF($A474="","",N(G473)+IF($B474="Incasso",$F474,-$F474))</f>
        <v/>
      </c>
    </row>
    <row r="475">
      <c r="A475" s="25" t="n"/>
      <c r="B475" s="11" t="n"/>
      <c r="C475" s="11" t="n"/>
      <c r="D475" s="11" t="n"/>
      <c r="E475" s="11" t="n"/>
      <c r="F475" s="16" t="n"/>
      <c r="G475" s="16">
        <f>IF($A475="","",N(G474)+IF($B475="Incasso",$F475,-$F475))</f>
        <v/>
      </c>
    </row>
    <row r="476">
      <c r="A476" s="22" t="n"/>
      <c r="B476" s="23" t="n"/>
      <c r="C476" s="23" t="n"/>
      <c r="D476" s="23" t="n"/>
      <c r="E476" s="23" t="n"/>
      <c r="F476" s="24" t="n"/>
      <c r="G476" s="24">
        <f>IF($A476="","",N(G475)+IF($B476="Incasso",$F476,-$F476))</f>
        <v/>
      </c>
    </row>
    <row r="477">
      <c r="A477" s="25" t="n"/>
      <c r="B477" s="11" t="n"/>
      <c r="C477" s="11" t="n"/>
      <c r="D477" s="11" t="n"/>
      <c r="E477" s="11" t="n"/>
      <c r="F477" s="16" t="n"/>
      <c r="G477" s="16">
        <f>IF($A477="","",N(G476)+IF($B477="Incasso",$F477,-$F477))</f>
        <v/>
      </c>
    </row>
    <row r="478">
      <c r="A478" s="22" t="n"/>
      <c r="B478" s="23" t="n"/>
      <c r="C478" s="23" t="n"/>
      <c r="D478" s="23" t="n"/>
      <c r="E478" s="23" t="n"/>
      <c r="F478" s="24" t="n"/>
      <c r="G478" s="24">
        <f>IF($A478="","",N(G477)+IF($B478="Incasso",$F478,-$F478))</f>
        <v/>
      </c>
    </row>
    <row r="479">
      <c r="A479" s="25" t="n"/>
      <c r="B479" s="11" t="n"/>
      <c r="C479" s="11" t="n"/>
      <c r="D479" s="11" t="n"/>
      <c r="E479" s="11" t="n"/>
      <c r="F479" s="16" t="n"/>
      <c r="G479" s="16">
        <f>IF($A479="","",N(G478)+IF($B479="Incasso",$F479,-$F479))</f>
        <v/>
      </c>
    </row>
    <row r="480">
      <c r="A480" s="22" t="n"/>
      <c r="B480" s="23" t="n"/>
      <c r="C480" s="23" t="n"/>
      <c r="D480" s="23" t="n"/>
      <c r="E480" s="23" t="n"/>
      <c r="F480" s="24" t="n"/>
      <c r="G480" s="24">
        <f>IF($A480="","",N(G479)+IF($B480="Incasso",$F480,-$F480))</f>
        <v/>
      </c>
    </row>
    <row r="481">
      <c r="A481" s="25" t="n"/>
      <c r="B481" s="11" t="n"/>
      <c r="C481" s="11" t="n"/>
      <c r="D481" s="11" t="n"/>
      <c r="E481" s="11" t="n"/>
      <c r="F481" s="16" t="n"/>
      <c r="G481" s="16">
        <f>IF($A481="","",N(G480)+IF($B481="Incasso",$F481,-$F481))</f>
        <v/>
      </c>
    </row>
    <row r="482">
      <c r="A482" s="22" t="n"/>
      <c r="B482" s="23" t="n"/>
      <c r="C482" s="23" t="n"/>
      <c r="D482" s="23" t="n"/>
      <c r="E482" s="23" t="n"/>
      <c r="F482" s="24" t="n"/>
      <c r="G482" s="24">
        <f>IF($A482="","",N(G481)+IF($B482="Incasso",$F482,-$F482))</f>
        <v/>
      </c>
    </row>
    <row r="483">
      <c r="A483" s="25" t="n"/>
      <c r="B483" s="11" t="n"/>
      <c r="C483" s="11" t="n"/>
      <c r="D483" s="11" t="n"/>
      <c r="E483" s="11" t="n"/>
      <c r="F483" s="16" t="n"/>
      <c r="G483" s="16">
        <f>IF($A483="","",N(G482)+IF($B483="Incasso",$F483,-$F483))</f>
        <v/>
      </c>
    </row>
    <row r="484">
      <c r="A484" s="22" t="n"/>
      <c r="B484" s="23" t="n"/>
      <c r="C484" s="23" t="n"/>
      <c r="D484" s="23" t="n"/>
      <c r="E484" s="23" t="n"/>
      <c r="F484" s="24" t="n"/>
      <c r="G484" s="24">
        <f>IF($A484="","",N(G483)+IF($B484="Incasso",$F484,-$F484))</f>
        <v/>
      </c>
    </row>
    <row r="485">
      <c r="A485" s="25" t="n"/>
      <c r="B485" s="11" t="n"/>
      <c r="C485" s="11" t="n"/>
      <c r="D485" s="11" t="n"/>
      <c r="E485" s="11" t="n"/>
      <c r="F485" s="16" t="n"/>
      <c r="G485" s="16">
        <f>IF($A485="","",N(G484)+IF($B485="Incasso",$F485,-$F485))</f>
        <v/>
      </c>
    </row>
    <row r="486">
      <c r="A486" s="22" t="n"/>
      <c r="B486" s="23" t="n"/>
      <c r="C486" s="23" t="n"/>
      <c r="D486" s="23" t="n"/>
      <c r="E486" s="23" t="n"/>
      <c r="F486" s="24" t="n"/>
      <c r="G486" s="24">
        <f>IF($A486="","",N(G485)+IF($B486="Incasso",$F486,-$F486))</f>
        <v/>
      </c>
    </row>
    <row r="487">
      <c r="A487" s="25" t="n"/>
      <c r="B487" s="11" t="n"/>
      <c r="C487" s="11" t="n"/>
      <c r="D487" s="11" t="n"/>
      <c r="E487" s="11" t="n"/>
      <c r="F487" s="16" t="n"/>
      <c r="G487" s="16">
        <f>IF($A487="","",N(G486)+IF($B487="Incasso",$F487,-$F487))</f>
        <v/>
      </c>
    </row>
    <row r="488">
      <c r="A488" s="22" t="n"/>
      <c r="B488" s="23" t="n"/>
      <c r="C488" s="23" t="n"/>
      <c r="D488" s="23" t="n"/>
      <c r="E488" s="23" t="n"/>
      <c r="F488" s="24" t="n"/>
      <c r="G488" s="24">
        <f>IF($A488="","",N(G487)+IF($B488="Incasso",$F488,-$F488))</f>
        <v/>
      </c>
    </row>
    <row r="489">
      <c r="A489" s="25" t="n"/>
      <c r="B489" s="11" t="n"/>
      <c r="C489" s="11" t="n"/>
      <c r="D489" s="11" t="n"/>
      <c r="E489" s="11" t="n"/>
      <c r="F489" s="16" t="n"/>
      <c r="G489" s="16">
        <f>IF($A489="","",N(G488)+IF($B489="Incasso",$F489,-$F489))</f>
        <v/>
      </c>
    </row>
    <row r="490">
      <c r="A490" s="22" t="n"/>
      <c r="B490" s="23" t="n"/>
      <c r="C490" s="23" t="n"/>
      <c r="D490" s="23" t="n"/>
      <c r="E490" s="23" t="n"/>
      <c r="F490" s="24" t="n"/>
      <c r="G490" s="24">
        <f>IF($A490="","",N(G489)+IF($B490="Incasso",$F490,-$F490))</f>
        <v/>
      </c>
    </row>
    <row r="491">
      <c r="A491" s="25" t="n"/>
      <c r="B491" s="11" t="n"/>
      <c r="C491" s="11" t="n"/>
      <c r="D491" s="11" t="n"/>
      <c r="E491" s="11" t="n"/>
      <c r="F491" s="16" t="n"/>
      <c r="G491" s="16">
        <f>IF($A491="","",N(G490)+IF($B491="Incasso",$F491,-$F491))</f>
        <v/>
      </c>
    </row>
    <row r="492">
      <c r="A492" s="22" t="n"/>
      <c r="B492" s="23" t="n"/>
      <c r="C492" s="23" t="n"/>
      <c r="D492" s="23" t="n"/>
      <c r="E492" s="23" t="n"/>
      <c r="F492" s="24" t="n"/>
      <c r="G492" s="24">
        <f>IF($A492="","",N(G491)+IF($B492="Incasso",$F492,-$F492))</f>
        <v/>
      </c>
    </row>
    <row r="493">
      <c r="A493" s="25" t="n"/>
      <c r="B493" s="11" t="n"/>
      <c r="C493" s="11" t="n"/>
      <c r="D493" s="11" t="n"/>
      <c r="E493" s="11" t="n"/>
      <c r="F493" s="16" t="n"/>
      <c r="G493" s="16">
        <f>IF($A493="","",N(G492)+IF($B493="Incasso",$F493,-$F493))</f>
        <v/>
      </c>
    </row>
    <row r="494">
      <c r="A494" s="22" t="n"/>
      <c r="B494" s="23" t="n"/>
      <c r="C494" s="23" t="n"/>
      <c r="D494" s="23" t="n"/>
      <c r="E494" s="23" t="n"/>
      <c r="F494" s="24" t="n"/>
      <c r="G494" s="24">
        <f>IF($A494="","",N(G493)+IF($B494="Incasso",$F494,-$F494))</f>
        <v/>
      </c>
    </row>
    <row r="495">
      <c r="A495" s="25" t="n"/>
      <c r="B495" s="11" t="n"/>
      <c r="C495" s="11" t="n"/>
      <c r="D495" s="11" t="n"/>
      <c r="E495" s="11" t="n"/>
      <c r="F495" s="16" t="n"/>
      <c r="G495" s="16">
        <f>IF($A495="","",N(G494)+IF($B495="Incasso",$F495,-$F495))</f>
        <v/>
      </c>
    </row>
    <row r="496">
      <c r="A496" s="22" t="n"/>
      <c r="B496" s="23" t="n"/>
      <c r="C496" s="23" t="n"/>
      <c r="D496" s="23" t="n"/>
      <c r="E496" s="23" t="n"/>
      <c r="F496" s="24" t="n"/>
      <c r="G496" s="24">
        <f>IF($A496="","",N(G495)+IF($B496="Incasso",$F496,-$F496))</f>
        <v/>
      </c>
    </row>
    <row r="497">
      <c r="A497" s="25" t="n"/>
      <c r="B497" s="11" t="n"/>
      <c r="C497" s="11" t="n"/>
      <c r="D497" s="11" t="n"/>
      <c r="E497" s="11" t="n"/>
      <c r="F497" s="16" t="n"/>
      <c r="G497" s="16">
        <f>IF($A497="","",N(G496)+IF($B497="Incasso",$F497,-$F497))</f>
        <v/>
      </c>
    </row>
    <row r="498">
      <c r="A498" s="22" t="n"/>
      <c r="B498" s="23" t="n"/>
      <c r="C498" s="23" t="n"/>
      <c r="D498" s="23" t="n"/>
      <c r="E498" s="23" t="n"/>
      <c r="F498" s="24" t="n"/>
      <c r="G498" s="24">
        <f>IF($A498="","",N(G497)+IF($B498="Incasso",$F498,-$F498))</f>
        <v/>
      </c>
    </row>
    <row r="499">
      <c r="A499" s="25" t="n"/>
      <c r="B499" s="11" t="n"/>
      <c r="C499" s="11" t="n"/>
      <c r="D499" s="11" t="n"/>
      <c r="E499" s="11" t="n"/>
      <c r="F499" s="16" t="n"/>
      <c r="G499" s="16">
        <f>IF($A499="","",N(G498)+IF($B499="Incasso",$F499,-$F499))</f>
        <v/>
      </c>
    </row>
    <row r="500">
      <c r="A500" s="22" t="n"/>
      <c r="B500" s="23" t="n"/>
      <c r="C500" s="23" t="n"/>
      <c r="D500" s="23" t="n"/>
      <c r="E500" s="23" t="n"/>
      <c r="F500" s="24" t="n"/>
      <c r="G500" s="24">
        <f>IF($A500="","",N(G499)+IF($B500="Incasso",$F500,-$F500))</f>
        <v/>
      </c>
    </row>
    <row r="501">
      <c r="A501" s="25" t="n"/>
      <c r="B501" s="11" t="n"/>
      <c r="C501" s="11" t="n"/>
      <c r="D501" s="11" t="n"/>
      <c r="E501" s="11" t="n"/>
      <c r="F501" s="16" t="n"/>
      <c r="G501" s="16">
        <f>IF($A501="","",N(G500)+IF($B501="Incasso",$F501,-$F501))</f>
        <v/>
      </c>
    </row>
  </sheetData>
  <autoFilter ref="A1:G501"/>
  <dataValidations count="2">
    <dataValidation sqref="B2:B501" showDropDown="0" showInputMessage="0" showErrorMessage="0" allowBlank="1" errorTitle="Valore non ammesso" error="Scegli: Incasso, Costo o Distribuzione. Il Riepilogo somma su questi valori esatti." type="list">
      <formula1>"Incasso,Costo,Distribuzione"</formula1>
    </dataValidation>
    <dataValidation sqref="C2:C501" showDropDown="0" showInputMessage="0" showErrorMessage="0" allowBlank="1" errorTitle="Valore non ammesso" error="Scegli una categoria dall'elenco: il Riepilogo somma su questi valori esatti." type="list">
      <formula1>"Tranche 80%,Tranche 20%,Altro incasso,Alloggio,Transfert,Mobility,Altro costo,Distribuzione Socio 1,Distribuzione Socio 2"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Riepilogo economico — progetto GEM</t>
        </is>
      </c>
    </row>
    <row r="2">
      <c r="A2" s="26" t="inlineStr">
        <is>
          <t>Foglio interamente calcolato. Si aggiorna da solo inserendo le righe in 'Movimenti'.</t>
        </is>
      </c>
    </row>
    <row r="4">
      <c r="A4" s="3" t="inlineStr">
        <is>
          <t>Ricavi</t>
        </is>
      </c>
    </row>
    <row r="5">
      <c r="A5" s="27" t="inlineStr">
        <is>
          <t>Voce</t>
        </is>
      </c>
      <c r="B5" s="27" t="inlineStr">
        <is>
          <t>Effettivo</t>
        </is>
      </c>
      <c r="C5" s="27" t="inlineStr">
        <is>
          <t>Atteso</t>
        </is>
      </c>
      <c r="D5" s="27" t="inlineStr">
        <is>
          <t>Scostamento</t>
        </is>
      </c>
    </row>
    <row r="6">
      <c r="A6" s="11" t="inlineStr">
        <is>
          <t>Incassi tranche 80%</t>
        </is>
      </c>
      <c r="B6" s="16">
        <f>SUMIFS(Movimenti!$F$2:$F$501,Movimenti!$B$2:$B$501,"Incasso",Movimenti!$C$2:$C$501,"Tranche 80%")</f>
        <v/>
      </c>
      <c r="C6" s="28">
        <f>Parametri!B15</f>
        <v/>
      </c>
      <c r="D6" s="16">
        <f>B6-C6</f>
        <v/>
      </c>
    </row>
    <row r="7">
      <c r="A7" s="11" t="inlineStr">
        <is>
          <t>Incassi tranche 20%</t>
        </is>
      </c>
      <c r="B7" s="16">
        <f>SUMIFS(Movimenti!$F$2:$F$501,Movimenti!$B$2:$B$501,"Incasso",Movimenti!$C$2:$C$501,"Tranche 20%")</f>
        <v/>
      </c>
      <c r="C7" s="28">
        <f>Parametri!B16</f>
        <v/>
      </c>
      <c r="D7" s="16">
        <f>B7-C7</f>
        <v/>
      </c>
    </row>
    <row r="8">
      <c r="A8" s="11" t="inlineStr">
        <is>
          <t>Altri incassi</t>
        </is>
      </c>
      <c r="B8" s="16">
        <f>SUMIFS(Movimenti!$F$2:$F$501,Movimenti!$B$2:$B$501,"Incasso",Movimenti!$C$2:$C$501,"Altro incasso")</f>
        <v/>
      </c>
      <c r="C8" s="16" t="n">
        <v>0</v>
      </c>
      <c r="D8" s="16">
        <f>B8-C8</f>
        <v/>
      </c>
    </row>
    <row r="9">
      <c r="A9" s="19" t="inlineStr">
        <is>
          <t>Totale ricavi incassati</t>
        </is>
      </c>
      <c r="B9" s="20">
        <f>SUMIFS(Movimenti!$F$2:$F$501,Movimenti!$B$2:$B$501,"Incasso")</f>
        <v/>
      </c>
      <c r="C9" s="29">
        <f>Parametri!B14</f>
        <v/>
      </c>
      <c r="D9" s="20">
        <f>B9-C9</f>
        <v/>
      </c>
    </row>
    <row r="11">
      <c r="A11" s="3" t="inlineStr">
        <is>
          <t>Costi variabili</t>
        </is>
      </c>
    </row>
    <row r="12">
      <c r="A12" s="27" t="inlineStr">
        <is>
          <t>Voce</t>
        </is>
      </c>
      <c r="B12" s="27" t="inlineStr">
        <is>
          <t>Effettivo</t>
        </is>
      </c>
      <c r="C12" s="27" t="inlineStr">
        <is>
          <t>Atteso</t>
        </is>
      </c>
      <c r="D12" s="27" t="inlineStr">
        <is>
          <t>Scostamento</t>
        </is>
      </c>
    </row>
    <row r="13">
      <c r="A13" s="11" t="inlineStr">
        <is>
          <t>Alloggio</t>
        </is>
      </c>
      <c r="B13" s="16">
        <f>SUMIFS(Movimenti!$F$2:$F$501,Movimenti!$B$2:$B$501,"Costo",Movimenti!$C$2:$C$501,"Alloggio")</f>
        <v/>
      </c>
      <c r="C13" s="28">
        <f>Parametri!B20*Parametri!B5</f>
        <v/>
      </c>
      <c r="D13" s="16">
        <f>B13-C13</f>
        <v/>
      </c>
    </row>
    <row r="14">
      <c r="A14" s="11" t="inlineStr">
        <is>
          <t>Transfert</t>
        </is>
      </c>
      <c r="B14" s="16">
        <f>SUMIFS(Movimenti!$F$2:$F$501,Movimenti!$B$2:$B$501,"Costo",Movimenti!$C$2:$C$501,"Transfert")</f>
        <v/>
      </c>
      <c r="C14" s="28">
        <f>Parametri!B21*Parametri!B5</f>
        <v/>
      </c>
      <c r="D14" s="16">
        <f>B14-C14</f>
        <v/>
      </c>
    </row>
    <row r="15">
      <c r="A15" s="11" t="inlineStr">
        <is>
          <t>Mobility</t>
        </is>
      </c>
      <c r="B15" s="16">
        <f>SUMIFS(Movimenti!$F$2:$F$501,Movimenti!$B$2:$B$501,"Costo",Movimenti!$C$2:$C$501,"Mobility")</f>
        <v/>
      </c>
      <c r="C15" s="28">
        <f>Parametri!B22*Parametri!B5</f>
        <v/>
      </c>
      <c r="D15" s="16">
        <f>B15-C15</f>
        <v/>
      </c>
    </row>
    <row r="16">
      <c r="A16" s="11" t="inlineStr">
        <is>
          <t>Altri costi</t>
        </is>
      </c>
      <c r="B16" s="16">
        <f>SUMIFS(Movimenti!$F$2:$F$501,Movimenti!$B$2:$B$501,"Costo",Movimenti!$C$2:$C$501,"Altro costo")</f>
        <v/>
      </c>
      <c r="C16" s="16" t="n">
        <v>0</v>
      </c>
      <c r="D16" s="16">
        <f>B16-C16</f>
        <v/>
      </c>
    </row>
    <row r="17">
      <c r="A17" s="19" t="inlineStr">
        <is>
          <t>Totale costi sostenuti</t>
        </is>
      </c>
      <c r="B17" s="20">
        <f>SUMIFS(Movimenti!$F$2:$F$501,Movimenti!$B$2:$B$501,"Costo")</f>
        <v/>
      </c>
      <c r="C17" s="29">
        <f>Parametri!B26</f>
        <v/>
      </c>
      <c r="D17" s="20">
        <f>B17-C17</f>
        <v/>
      </c>
    </row>
    <row r="19">
      <c r="A19" s="3" t="inlineStr">
        <is>
          <t>Margine e ripartizione 50/50</t>
        </is>
      </c>
    </row>
    <row r="20">
      <c r="A20" s="27" t="inlineStr">
        <is>
          <t>Voce</t>
        </is>
      </c>
      <c r="B20" s="27" t="inlineStr">
        <is>
          <t>Effettivo</t>
        </is>
      </c>
      <c r="C20" s="27" t="inlineStr">
        <is>
          <t>Atteso</t>
        </is>
      </c>
      <c r="D20" s="27" t="inlineStr">
        <is>
          <t>Scostamento</t>
        </is>
      </c>
    </row>
    <row r="21">
      <c r="A21" s="19" t="inlineStr">
        <is>
          <t>Margine residuo</t>
        </is>
      </c>
      <c r="B21" s="20">
        <f>B9-B17</f>
        <v/>
      </c>
      <c r="C21" s="29">
        <f>Parametri!B27</f>
        <v/>
      </c>
      <c r="D21" s="20">
        <f>B21-C21</f>
        <v/>
      </c>
    </row>
    <row r="22">
      <c r="A22" s="11" t="inlineStr">
        <is>
          <t>Quota Socio 1 (50%)</t>
        </is>
      </c>
      <c r="B22" s="16">
        <f>B21*Parametri!B10</f>
        <v/>
      </c>
      <c r="C22" s="28">
        <f>Parametri!B30</f>
        <v/>
      </c>
      <c r="D22" s="16">
        <f>B22-C22</f>
        <v/>
      </c>
    </row>
    <row r="23">
      <c r="A23" s="11" t="inlineStr">
        <is>
          <t>Quota Socio 2 (50%)</t>
        </is>
      </c>
      <c r="B23" s="16">
        <f>B21*Parametri!B11</f>
        <v/>
      </c>
      <c r="C23" s="28">
        <f>Parametri!B31</f>
        <v/>
      </c>
      <c r="D23" s="16">
        <f>B23-C23</f>
        <v/>
      </c>
    </row>
    <row r="24">
      <c r="A24" s="11" t="inlineStr">
        <is>
          <t>Marginalità sui ricavi</t>
        </is>
      </c>
      <c r="B24" s="17">
        <f>IF(B9=0,"",B21/B9)</f>
        <v/>
      </c>
      <c r="C24" s="30">
        <f>IF(Parametri!B14=0,"",Parametri!B27/Parametri!B14)</f>
        <v/>
      </c>
      <c r="D24" s="17">
        <f>B24-C24</f>
        <v/>
      </c>
    </row>
    <row r="26">
      <c r="A26" s="3" t="inlineStr">
        <is>
          <t>Cassa</t>
        </is>
      </c>
    </row>
    <row r="27">
      <c r="A27" s="27" t="inlineStr">
        <is>
          <t>Voce</t>
        </is>
      </c>
      <c r="B27" s="27" t="inlineStr">
        <is>
          <t>Effettivo</t>
        </is>
      </c>
      <c r="C27" s="27" t="inlineStr">
        <is>
          <t>Atteso</t>
        </is>
      </c>
      <c r="D27" s="27" t="inlineStr">
        <is>
          <t>Scostamento</t>
        </is>
      </c>
    </row>
    <row r="28">
      <c r="A28" s="11" t="inlineStr">
        <is>
          <t>Distribuzioni gia' prelevate</t>
        </is>
      </c>
      <c r="B28" s="16">
        <f>SUMIFS(Movimenti!$F$2:$F$501,Movimenti!$B$2:$B$501,"Distribuzione")</f>
        <v/>
      </c>
      <c r="C28" s="31" t="n"/>
      <c r="D28" s="31" t="n"/>
    </row>
    <row r="29">
      <c r="A29" s="11" t="inlineStr">
        <is>
          <t>Margine ancora da distribuire</t>
        </is>
      </c>
      <c r="B29" s="16">
        <f>B21-B28</f>
        <v/>
      </c>
      <c r="C29" s="31" t="n"/>
      <c r="D29" s="31" t="n"/>
    </row>
    <row r="30">
      <c r="A30" s="19" t="inlineStr">
        <is>
          <t>Saldo di cassa</t>
        </is>
      </c>
      <c r="B30" s="20">
        <f>B9-B17-B28</f>
        <v/>
      </c>
      <c r="C30" s="32" t="n"/>
      <c r="D30" s="32" t="n"/>
    </row>
    <row r="31">
      <c r="A31" s="11" t="inlineStr">
        <is>
          <t>Verifica vs ultimo saldo progressivo</t>
        </is>
      </c>
      <c r="B31" s="16">
        <f>SUMIFS(Movimenti!$F$2:$F$501,Movimenti!$B$2:$B$501,"Incasso")-SUMIFS(Movimenti!$F$2:$F$501,Movimenti!$B$2:$B$501,"Costo")-SUMIFS(Movimenti!$F$2:$F$501,Movimenti!$B$2:$B$501,"Distribuzione")</f>
        <v/>
      </c>
      <c r="C31" s="31" t="n"/>
      <c r="D31" s="31" t="n"/>
    </row>
    <row r="33">
      <c r="A33" s="3" t="inlineStr">
        <is>
          <t>Avanzamento</t>
        </is>
      </c>
    </row>
    <row r="34">
      <c r="A34" s="27" t="inlineStr">
        <is>
          <t>Voce</t>
        </is>
      </c>
      <c r="B34" s="27" t="inlineStr">
        <is>
          <t>Effettivo</t>
        </is>
      </c>
      <c r="C34" s="27" t="inlineStr">
        <is>
          <t>Atteso</t>
        </is>
      </c>
      <c r="D34" s="27" t="inlineStr">
        <is>
          <t>Scostamento</t>
        </is>
      </c>
    </row>
    <row r="35">
      <c r="A35" s="11" t="inlineStr">
        <is>
          <t>Ricavi incassati sul totale atteso</t>
        </is>
      </c>
      <c r="B35" s="17">
        <f>IF(Parametri!B14=0,"",B9/Parametri!B14)</f>
        <v/>
      </c>
      <c r="C35" s="31" t="n"/>
      <c r="D35" s="31" t="n"/>
    </row>
    <row r="36">
      <c r="A36" s="11" t="inlineStr">
        <is>
          <t>Numero movimenti registrati</t>
        </is>
      </c>
      <c r="B36" s="33">
        <f>COUNTA(Movimenti!$A$2:$A$501)</f>
        <v/>
      </c>
      <c r="C36" s="31" t="n"/>
      <c r="D36" s="31" t="n"/>
    </row>
    <row r="38">
      <c r="A38" s="2" t="inlineStr">
        <is>
          <t>Nota: 'Atteso' deriva dai Parametri (36 ospiti x 2.000 €). 'Effettivo' somma solo i movimenti realmente registrati.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2026-09-12T16:15:27Z</dcterms:created>
  <dcterms:modified xsi:type="dcterms:W3CDTF">2026-09-12T16:15:27Z</dcterms:modified>
</cp:coreProperties>
</file>